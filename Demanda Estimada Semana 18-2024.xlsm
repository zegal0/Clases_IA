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LMOFOOD\PLANIFICACION\PLANIFICACION DE PRODUCCION\"/>
    </mc:Choice>
  </mc:AlternateContent>
  <xr:revisionPtr revIDLastSave="0" documentId="13_ncr:1_{48950E14-F240-45BF-8088-E08F73D9E4D4}" xr6:coauthVersionLast="47" xr6:coauthVersionMax="47" xr10:uidLastSave="{00000000-0000-0000-0000-000000000000}"/>
  <bookViews>
    <workbookView xWindow="-120" yWindow="-120" windowWidth="20730" windowHeight="11160" activeTab="2" xr2:uid="{1C9631E4-7CCB-4D30-AD6C-89860F6EF856}"/>
  </bookViews>
  <sheets>
    <sheet name="DATA" sheetId="13" r:id="rId1"/>
    <sheet name="TD" sheetId="10" r:id="rId2"/>
    <sheet name="DIFERENCIAL" sheetId="11" r:id="rId3"/>
    <sheet name="Fecha Cliente" sheetId="7" r:id="rId4"/>
  </sheets>
  <functionGroups builtInGroupCount="19"/>
  <definedNames>
    <definedName name="_xlnm._FilterDatabase" localSheetId="0" hidden="1">DATA!$A$3:$BD$60</definedName>
    <definedName name="_xlnm._FilterDatabase" localSheetId="3" hidden="1">'Fecha Cliente'!$A$3:$AZ$60</definedName>
  </definedNames>
  <calcPr calcId="191029"/>
  <pivotCaches>
    <pivotCache cacheId="199" r:id="rId5"/>
    <pivotCache cacheId="20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13" l="1"/>
  <c r="N60" i="13"/>
  <c r="N59" i="13"/>
  <c r="N58" i="13"/>
  <c r="N57" i="13"/>
  <c r="N56" i="13"/>
  <c r="N55" i="13"/>
  <c r="N54" i="13"/>
  <c r="N53" i="13"/>
  <c r="N52" i="13"/>
  <c r="N51" i="13"/>
  <c r="N50" i="13"/>
  <c r="N49" i="13"/>
  <c r="N48" i="13"/>
  <c r="N47" i="13"/>
  <c r="N46" i="13"/>
  <c r="N45" i="13"/>
  <c r="N44" i="13"/>
  <c r="N43" i="13"/>
  <c r="N42" i="13"/>
  <c r="N41" i="13"/>
  <c r="N40" i="13"/>
  <c r="N39" i="13"/>
  <c r="N38" i="13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N9" i="13"/>
  <c r="N8" i="13"/>
  <c r="N7" i="13"/>
  <c r="N6" i="13"/>
  <c r="N5" i="13"/>
  <c r="N4" i="13"/>
  <c r="K60" i="13" l="1"/>
  <c r="G60" i="13" s="1"/>
  <c r="K59" i="13"/>
  <c r="G59" i="13" s="1"/>
  <c r="K58" i="13"/>
  <c r="G58" i="13" s="1"/>
  <c r="K57" i="13"/>
  <c r="G57" i="13" s="1"/>
  <c r="K56" i="13"/>
  <c r="G56" i="13" s="1"/>
  <c r="K55" i="13"/>
  <c r="G55" i="13" s="1"/>
  <c r="K54" i="13"/>
  <c r="G54" i="13" s="1"/>
  <c r="K53" i="13"/>
  <c r="G53" i="13" s="1"/>
  <c r="K52" i="13"/>
  <c r="G52" i="13" s="1"/>
  <c r="K51" i="13"/>
  <c r="G51" i="13" s="1"/>
  <c r="K50" i="13"/>
  <c r="G50" i="13" s="1"/>
  <c r="K49" i="13"/>
  <c r="G49" i="13" s="1"/>
  <c r="K48" i="13"/>
  <c r="G48" i="13" s="1"/>
  <c r="K47" i="13"/>
  <c r="G47" i="13" s="1"/>
  <c r="K46" i="13"/>
  <c r="G46" i="13" s="1"/>
  <c r="K45" i="13"/>
  <c r="G45" i="13" s="1"/>
  <c r="K44" i="13"/>
  <c r="G44" i="13" s="1"/>
  <c r="K43" i="13"/>
  <c r="G43" i="13" s="1"/>
  <c r="K42" i="13"/>
  <c r="G42" i="13" s="1"/>
  <c r="K41" i="13"/>
  <c r="G41" i="13" s="1"/>
  <c r="K40" i="13"/>
  <c r="G40" i="13" s="1"/>
  <c r="K39" i="13"/>
  <c r="G39" i="13" s="1"/>
  <c r="K38" i="13"/>
  <c r="G38" i="13" s="1"/>
  <c r="K37" i="13"/>
  <c r="G37" i="13" s="1"/>
  <c r="K36" i="13"/>
  <c r="G36" i="13" s="1"/>
  <c r="K35" i="13"/>
  <c r="G35" i="13" s="1"/>
  <c r="K34" i="13"/>
  <c r="G34" i="13" s="1"/>
  <c r="K33" i="13"/>
  <c r="G33" i="13" s="1"/>
  <c r="K32" i="13"/>
  <c r="G32" i="13" s="1"/>
  <c r="K31" i="13"/>
  <c r="G31" i="13" s="1"/>
  <c r="K30" i="13"/>
  <c r="G30" i="13" s="1"/>
  <c r="K29" i="13"/>
  <c r="G29" i="13" s="1"/>
  <c r="K28" i="13"/>
  <c r="G28" i="13" s="1"/>
  <c r="K27" i="13"/>
  <c r="G27" i="13" s="1"/>
  <c r="K26" i="13"/>
  <c r="G26" i="13" s="1"/>
  <c r="K25" i="13"/>
  <c r="G25" i="13" s="1"/>
  <c r="K24" i="13"/>
  <c r="G24" i="13" s="1"/>
  <c r="K23" i="13"/>
  <c r="G23" i="13" s="1"/>
  <c r="K22" i="13"/>
  <c r="G22" i="13" s="1"/>
  <c r="K21" i="13"/>
  <c r="G21" i="13" s="1"/>
  <c r="K20" i="13"/>
  <c r="G20" i="13" s="1"/>
  <c r="K19" i="13"/>
  <c r="G19" i="13" s="1"/>
  <c r="K18" i="13"/>
  <c r="G18" i="13" s="1"/>
  <c r="K17" i="13"/>
  <c r="G17" i="13" s="1"/>
  <c r="K16" i="13"/>
  <c r="G16" i="13" s="1"/>
  <c r="K15" i="13"/>
  <c r="G15" i="13" s="1"/>
  <c r="K14" i="13"/>
  <c r="G14" i="13" s="1"/>
  <c r="K13" i="13"/>
  <c r="G13" i="13" s="1"/>
  <c r="K12" i="13"/>
  <c r="G12" i="13" s="1"/>
  <c r="K11" i="13"/>
  <c r="G11" i="13" s="1"/>
  <c r="K10" i="13"/>
  <c r="G10" i="13" s="1"/>
  <c r="K9" i="13"/>
  <c r="G9" i="13" s="1"/>
  <c r="K8" i="13"/>
  <c r="G8" i="13" s="1"/>
  <c r="K7" i="13"/>
  <c r="G7" i="13" s="1"/>
  <c r="K6" i="13"/>
  <c r="G6" i="13" s="1"/>
  <c r="K5" i="13"/>
  <c r="G5" i="13" s="1"/>
  <c r="K4" i="13"/>
  <c r="G4" i="13" s="1"/>
  <c r="O60" i="13"/>
  <c r="O59" i="13"/>
  <c r="O58" i="13"/>
  <c r="O57" i="13"/>
  <c r="O56" i="13"/>
  <c r="O55" i="13"/>
  <c r="O54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BD2" i="13"/>
  <c r="BC2" i="13"/>
  <c r="BB2" i="13"/>
  <c r="BA2" i="13"/>
  <c r="AZ2" i="13"/>
  <c r="AY2" i="13"/>
  <c r="AX2" i="13"/>
  <c r="AW2" i="13"/>
  <c r="AV2" i="13"/>
  <c r="AU2" i="13"/>
  <c r="AT2" i="13"/>
  <c r="AS2" i="13"/>
  <c r="AR2" i="13"/>
  <c r="AQ2" i="13"/>
  <c r="AP2" i="13"/>
  <c r="AO2" i="13"/>
  <c r="AN2" i="13"/>
  <c r="AM2" i="13"/>
  <c r="AL2" i="13"/>
  <c r="AK2" i="13"/>
  <c r="AJ2" i="13"/>
  <c r="AI2" i="13"/>
  <c r="AH2" i="13"/>
  <c r="AG2" i="13"/>
  <c r="AF2" i="13"/>
  <c r="AE2" i="13"/>
  <c r="AD2" i="13"/>
  <c r="AC2" i="13"/>
  <c r="AB2" i="13"/>
  <c r="AA2" i="13"/>
  <c r="Z2" i="13"/>
  <c r="Y2" i="13"/>
  <c r="X2" i="13"/>
  <c r="W2" i="13"/>
  <c r="V2" i="13"/>
  <c r="U2" i="13"/>
  <c r="T2" i="13"/>
  <c r="S2" i="13"/>
  <c r="R2" i="13"/>
  <c r="Q2" i="13"/>
  <c r="P2" i="13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J2" i="7"/>
  <c r="O2" i="13" l="1"/>
  <c r="K2" i="7"/>
  <c r="D5" i="11" l="1"/>
</calcChain>
</file>

<file path=xl/sharedStrings.xml><?xml version="1.0" encoding="utf-8"?>
<sst xmlns="http://schemas.openxmlformats.org/spreadsheetml/2006/main" count="564" uniqueCount="102">
  <si>
    <t>Material</t>
  </si>
  <si>
    <t>Descripción Dieta</t>
  </si>
  <si>
    <t>Doc.vtas.</t>
  </si>
  <si>
    <t>CALIBRE</t>
  </si>
  <si>
    <t>FORMATO</t>
  </si>
  <si>
    <t>NORMAL</t>
  </si>
  <si>
    <t>MAXISACO 1250 KILOS</t>
  </si>
  <si>
    <t>Total general</t>
  </si>
  <si>
    <t>Total</t>
  </si>
  <si>
    <t>OFERTA</t>
  </si>
  <si>
    <t>DEMANDA</t>
  </si>
  <si>
    <t>DIFERENCIAL</t>
  </si>
  <si>
    <t>Etiquetas de fila</t>
  </si>
  <si>
    <t>AUSTRALIS</t>
  </si>
  <si>
    <t>Tipo de Dieta</t>
  </si>
  <si>
    <t>ADELANTO FECHA</t>
  </si>
  <si>
    <t>INDICADOR RT</t>
  </si>
  <si>
    <t>CERMAQ-CALEN 2</t>
  </si>
  <si>
    <t>PROD.VENTISQUEROS-PITIHORNO SUR</t>
  </si>
  <si>
    <t>Suma de CANTIDAD SELECCIONADA</t>
  </si>
  <si>
    <t>CERMAQ-DUCAÑAS</t>
  </si>
  <si>
    <t>MEDICADO</t>
  </si>
  <si>
    <t>(XI-PP)(N)(M)(34)(41,5)//EXPLORADOR XG 500, ASTAXANTINA 10% 90,000 PPM</t>
  </si>
  <si>
    <t>AUSTRALIS-HUMOS 5</t>
  </si>
  <si>
    <t>PROD.VENTISQUEROS-ICA</t>
  </si>
  <si>
    <t>(X-PP)(N)(M)(38,5)(37,5)//EXPLORADOR XG (N3+) 2009, ASTAXANTINA 10% 60,000 PPM, PREMIX CQ 1,000 PKT</t>
  </si>
  <si>
    <t>(X-PP)(N)(M)(38,5)(37,5)//EXPLORADOR XG (N3+) 2009, ASTAXANTINA 10% 70,000 PPM, EXTRA HISTIDINA + 0.01% 31,000 PKT, AntiOx+ 1,000 PKT</t>
  </si>
  <si>
    <t>PROD.VENTISQ-NORTE ISLA FRANCISCO</t>
  </si>
  <si>
    <t>PROD.VENTISQUEROS-MORROLOBOS</t>
  </si>
  <si>
    <t>(X-PP)(N)(M)(36)(36)//EXPLORADOR AE 2000-VTQ, ASTAXANTINA 10% 80,000 PPM</t>
  </si>
  <si>
    <t>(XI-PP)(N)(M)(39,5)(37)//EXPLORADOR XG 3000, ASTAXANTINA 10% 90,000 PPM</t>
  </si>
  <si>
    <t>AUSTRALIS-HUMOS 6</t>
  </si>
  <si>
    <t>(XI-PP)(N)(M)(38,5)(37,5)//EXPLORADOR XG 2009, ASTAXANTINA 10% 90,000 PPM</t>
  </si>
  <si>
    <t>AUSTRALIS-MELCHOR 4</t>
  </si>
  <si>
    <t>MULTIEXPORT-LLAGUEPE</t>
  </si>
  <si>
    <t>MOWI CHILE-PALQUI</t>
  </si>
  <si>
    <t>BOLSA 25 KILOS</t>
  </si>
  <si>
    <t>(X-SPOT)(N)(M)(37)(38)//EXPLORADOR XG 4000 (9) - MULTIX, ASTAXANTINA 10% 60,000 PPM</t>
  </si>
  <si>
    <t>MOWI CHILE-PUNTA APIAO</t>
  </si>
  <si>
    <t>MULTIEXPORT-CHAPARANO</t>
  </si>
  <si>
    <t>MOWI CHILE S.A.</t>
  </si>
  <si>
    <t>(-)(N)(M)(38)(37,5)//SFM XG 2009 - CQ, ASTAXANTINA 10% 80,000 PPM, FLORFENICOL 50% (STIM CHILE S.A) 6,000 KGT</t>
  </si>
  <si>
    <t>CERMAQ CHILE S.A.</t>
  </si>
  <si>
    <t>(-)(N)(B)(24)(42)//LEMUY 250 EXP, ASTAXANTINA 10% 80,000 PPM</t>
  </si>
  <si>
    <t>LLC "SALTRA"</t>
  </si>
  <si>
    <t>(-)(N)(B)(20)(44)//TR-2242-02 EXP</t>
  </si>
  <si>
    <t>(-)(N)(B)(20)(44)//TR-2242-03 EXP</t>
  </si>
  <si>
    <t>(-)(N)(B)(24)(39,5)//LEMUY 1000 EXP, ASTAXANTINA 10% 80,000 PPM</t>
  </si>
  <si>
    <t>(-)(N)(M)(26)(43)//EXPLORADOR 500, ASTAXANTINA 10% 100,000 PPM</t>
  </si>
  <si>
    <t>(-)(N)(B)(24)(39,5)//LEMUY 500 EXP, ASTAXANTINA 10% 80,000 PPM</t>
  </si>
  <si>
    <t>(-)(N)(M)(27)(37)//EXPLORADOR 1000, ASTAXANTINA 10% 100,000 PPM</t>
  </si>
  <si>
    <t>CANTIDAD TOTAL</t>
  </si>
  <si>
    <t>Analisis</t>
  </si>
  <si>
    <t>Adelanto total</t>
  </si>
  <si>
    <t>FECHA REQUERIDA PRODUCCION</t>
  </si>
  <si>
    <t>FECHA CLIENTE</t>
  </si>
  <si>
    <t>CENTRO</t>
  </si>
  <si>
    <t>CLIENTE</t>
  </si>
  <si>
    <t>TOTAL PENDIENTES</t>
  </si>
  <si>
    <t/>
  </si>
  <si>
    <t>(X-PP)(N)(M)(38,5)(37,5)//EXPLORADOR XG (N3+) 2009, ASTAXANTINA 10% 70,000 PPM, AntiOx+ 1,000 PKT, EXTRA HISTIDINA + 0.01% 31,000 PKT</t>
  </si>
  <si>
    <t>MULTIEXPORT-CHALACAYEC</t>
  </si>
  <si>
    <t>(X-SPOT)(N)(M)(37)(38)//EXPLORADOR XG 2500 (9) - MULTIX, ASTAXANTINA 10% 60,000 PPM</t>
  </si>
  <si>
    <t>AUSTRALIS-HUMOS 3</t>
  </si>
  <si>
    <t>(XI-TERRESTRE)(N)(M)(39,5)(37)//EXPLORADOR XG 3000, ASTAXANTINA 10% 80,000 PPM</t>
  </si>
  <si>
    <t>AUSTRALIS-CORDOVA 2</t>
  </si>
  <si>
    <t>(X-PP)(N)(M)(30)(39)//EXPLORADOR AE 500-VTQ, ASTAXANTINA 10% 80,000 PPM, L-END 1,000 KGT</t>
  </si>
  <si>
    <t>PROD.VENTISQUEROS-LINGUAR</t>
  </si>
  <si>
    <t>(X-PP)(N)(M)(39,5)(37)//EXPLORADOR XG 3000 -VTQ, ASTAXANTINA 10% 80,000 PPM, KOMBO SHIELD 5,000 L, COBRO-ADICION ADITIVO (SF) 1,000</t>
  </si>
  <si>
    <t>(X-PP)(N)(M)(39,5)(37)//EXPLORADOR XG 3000 -VTQ, ASTAXANTINA 10% 80,000 PPM, L-END 1,000 KGT, PAQ - XTRACT 1,500 KGT</t>
  </si>
  <si>
    <t>(X-PP)(N)(M)(39,5)(37)//EXPLORADOR XG 3000 -VTQ, ASTAXANTINA 10% 80,000 PPM, Extra n3 EPA+DHA (USD/+0,5% incl) 4,000 PKT, L-END 1,000 KGT, PAQ - XTRACT 1,500 KGT</t>
  </si>
  <si>
    <t>(XI-TERRESTRE)(N)(M)(36)(38)//EXPLORADOR XG 1000 - MULTIX, ASTAXANTINA 10% 60,000 PPM</t>
  </si>
  <si>
    <t>MULTIEXPORT-IZAZA</t>
  </si>
  <si>
    <t>(-)(N)(M)(38)(37,5)//SFM XG 2000 - MW, ASTAXANTINA 10% 70,000 PPM, BLOCK RECOVER 1,000 PKT, VETERIN 80% Florfenicol - Centrovet 3,500 KGT, CAREBLOCK OXYCARE 1,000 PKT</t>
  </si>
  <si>
    <t>(-)(N)(M)(38)(37,5)//SFM XG 2000 - MW, ASTAXANTINA 10% 70,000 PPM, BLOCK RECOVER 1,000 PKT, FLORFENICOL 50% (FAV CHILE) 6,000 KGT</t>
  </si>
  <si>
    <t>(-)(N)(M)(39,5)(36,5)//EXPLORADOR XG 3000, ASTAXANTINA 10% 70,000 PPM, BLOCK RECOVER 1,000 PKT</t>
  </si>
  <si>
    <t>(X-PP)(N)(M)(28)(45)//TRANSFER AE 250, ASTAXANTINA 10% 80,000 PPM, L-END 1,000 KGT</t>
  </si>
  <si>
    <t>(-)(N)(M)(34)(41,5)//EXPLORADOR XG 500 -VTQ, ASTAXANTINA 10% 80,000 PPM</t>
  </si>
  <si>
    <t>(-)(N)(M)(36)(39)//EXPLORADOR XG 1000-VTQ, ASTAXANTINA 10% 80,000 PPM</t>
  </si>
  <si>
    <t>CANTIDAD SELECCIONADA</t>
  </si>
  <si>
    <t>Cliente</t>
  </si>
  <si>
    <t>(XI-TERRESTRE)(N)(M)(37)(38)//EXPLORADOR XG 2500 (9) - MULTIX, ASTAXANTINA 10% 60,000 PPM, BUTIMIX 1,000 KGT</t>
  </si>
  <si>
    <t>(XI-SPOT)(N)(M)(37)(38)//EXPLORADOR XG 2500 (9) - MULTIX, ASTAXANTINA 10% 60,000 PPM, BUTIMIX 1,000 KGT</t>
  </si>
  <si>
    <t>(X-PP)(N)(M)(39,5)(37)//EXPLORADOR XG 3000 -VTQ, FUTERPENOL 1,000 KGT, ASTAXANTINA 10% 80,000 PPM, COBRO-ADICION ADITIVO (SF) 1,000, KOMBO SHIELD 5,000 L</t>
  </si>
  <si>
    <t>(XI-SPOT)(N)(M)(37)(38)//EXPLORADOR XG 4000 (9) - MULTIX, ASTAXANTINA 10% 60,000 PPM, BUTIMIX 1,000 KGT</t>
  </si>
  <si>
    <t>(-)(N)(M)(34,5)(35,5)//SFM AE 2500 (9) - MULTIX, ASTAXANTINA 10% 60,000 PPM, ATEFLOR 50% (FLORFENICOL) 5,000 KGT</t>
  </si>
  <si>
    <t>MULTI X S.A.</t>
  </si>
  <si>
    <t>(X-TERRESTRE)(N)(M)(35)(39)//SFM XG 1000 - MW, ASTAXANTINA 10% 70,000 PPM, VETERIN 80% Florfenicol - Centrovet 2,500 KGT</t>
  </si>
  <si>
    <t>(-)(N)(M)(33)(42)//EXPLORADOR XG 300 - MW, ASTAXANTINA 10% 80,000 PPM</t>
  </si>
  <si>
    <t>(-)(N)(B)(0)(0)//TRANSFER SALAR XG100- MW, ASTAXANTINA 10% 80,000 PPM</t>
  </si>
  <si>
    <t>MOWI CHILE-BAJO LA BARRA</t>
  </si>
  <si>
    <t>(-)(N)(M)(0)(0)//TRANSFER SALAR XG100- MW, ASTAXANTINA 10% 80,000 PPM</t>
  </si>
  <si>
    <t>(X-PP)(N)(B)(26)(46)//TRANSFER AE 100 - VTQ, ASTAXANTINA 10% 80,000 PPM, L-END 1,000 KGT</t>
  </si>
  <si>
    <t>(-)(N)(M)(35)(39)//SFM XG 1000 - MW, ASTAXANTINA 10% 80,000 PPM, VETERIN 80% Florfenicol - Centrovet 3,500 KGT</t>
  </si>
  <si>
    <t>MOWI CHILE-OESTE BAJO MEULIN</t>
  </si>
  <si>
    <t>PRIMERA FECHA</t>
  </si>
  <si>
    <t>MEF</t>
  </si>
  <si>
    <t>VTQ</t>
  </si>
  <si>
    <t>MOWI</t>
  </si>
  <si>
    <t>CMQ</t>
  </si>
  <si>
    <t>RUSIA</t>
  </si>
  <si>
    <t>FECHA LIMITE PRODUCCION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</si>
</sst>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1" xfId="0" applyBorder="1"/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pivotButton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 wrapText="1"/>
    </xf>
    <xf numFmtId="14" fontId="1" fillId="2" borderId="3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14" fontId="1" fillId="2" borderId="9" xfId="0" applyNumberFormat="1" applyFont="1" applyFill="1" applyBorder="1" applyAlignment="1">
      <alignment horizontal="center" vertical="center"/>
    </xf>
    <xf numFmtId="14" fontId="1" fillId="2" borderId="10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14" fontId="0" fillId="0" borderId="0" xfId="0" applyNumberFormat="1" applyAlignment="1">
      <alignment horizontal="center"/>
    </xf>
    <xf numFmtId="14" fontId="1" fillId="2" borderId="11" xfId="0" applyNumberFormat="1" applyFont="1" applyFill="1" applyBorder="1" applyAlignment="1">
      <alignment horizontal="center" vertical="center"/>
    </xf>
    <xf numFmtId="14" fontId="1" fillId="2" borderId="12" xfId="0" applyNumberFormat="1" applyFont="1" applyFill="1" applyBorder="1" applyAlignment="1">
      <alignment horizontal="center" vertical="center"/>
    </xf>
    <xf numFmtId="14" fontId="1" fillId="2" borderId="13" xfId="0" applyNumberFormat="1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</cellXfs>
  <cellStyles count="1">
    <cellStyle name="Normal" xfId="0" builtinId="0"/>
  </cellStyles>
  <dxfs count="54"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alignment horizontal="center"/>
    </dxf>
    <dxf>
      <alignment horizontal="center"/>
    </dxf>
    <dxf>
      <numFmt numFmtId="3" formatCode="#,##0"/>
    </dxf>
    <dxf>
      <alignment horizontal="center"/>
    </dxf>
    <dxf>
      <alignment horizontal="center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numFmt numFmtId="3" formatCode="#,##0"/>
    </dxf>
    <dxf>
      <alignment wrapText="1"/>
    </dxf>
    <dxf>
      <alignment horizontal="center"/>
    </dxf>
    <dxf>
      <alignment horizontal="center"/>
    </dxf>
    <dxf>
      <numFmt numFmtId="3" formatCode="#,##0"/>
    </dxf>
    <dxf>
      <alignment wrapText="1"/>
    </dxf>
    <dxf>
      <alignment horizontal="center"/>
    </dxf>
    <dxf>
      <alignment horizontal="center"/>
    </dxf>
    <dxf>
      <numFmt numFmtId="3" formatCode="#,##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" formatCode="#,##0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b="1"/>
              <a:t>Balance Oferta / Demanda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02-477C-8A2A-7C3F88F754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D02-477C-8A2A-7C3F88F754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02-477C-8A2A-7C3F88F75450}"/>
              </c:ext>
            </c:extLst>
          </c:dPt>
          <c:dLbls>
            <c:dLbl>
              <c:idx val="0"/>
              <c:layout>
                <c:manualLayout>
                  <c:x val="5.8333333333333334E-2"/>
                  <c:y val="-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D02-477C-8A2A-7C3F88F75450}"/>
                </c:ext>
              </c:extLst>
            </c:dLbl>
            <c:dLbl>
              <c:idx val="1"/>
              <c:layout>
                <c:manualLayout>
                  <c:x val="-0.12777777777777782"/>
                  <c:y val="-6.48148148148147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02-477C-8A2A-7C3F88F75450}"/>
                </c:ext>
              </c:extLst>
            </c:dLbl>
            <c:dLbl>
              <c:idx val="2"/>
              <c:layout>
                <c:manualLayout>
                  <c:x val="-6.3888888888888939E-2"/>
                  <c:y val="-7.8703703703703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02-477C-8A2A-7C3F88F75450}"/>
                </c:ext>
              </c:extLst>
            </c:dLbl>
            <c:spPr>
              <a:noFill/>
              <a:ln>
                <a:solidFill>
                  <a:schemeClr val="accent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DIFERENCIAL!$C$3:$C$5</c:f>
              <c:strCache>
                <c:ptCount val="3"/>
                <c:pt idx="0">
                  <c:v>DEMANDA</c:v>
                </c:pt>
                <c:pt idx="1">
                  <c:v>OFERTA</c:v>
                </c:pt>
                <c:pt idx="2">
                  <c:v>DIFERENCIAL</c:v>
                </c:pt>
              </c:strCache>
            </c:strRef>
          </c:cat>
          <c:val>
            <c:numRef>
              <c:f>DIFERENCIAL!$D$3:$D$5</c:f>
              <c:numCache>
                <c:formatCode>General</c:formatCode>
                <c:ptCount val="3"/>
                <c:pt idx="0" formatCode="0">
                  <c:v>2835.25</c:v>
                </c:pt>
                <c:pt idx="1">
                  <c:v>1596</c:v>
                </c:pt>
                <c:pt idx="2">
                  <c:v>-1239.25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2-477C-8A2A-7C3F88F75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161925</xdr:rowOff>
    </xdr:from>
    <xdr:to>
      <xdr:col>11</xdr:col>
      <xdr:colOff>104775</xdr:colOff>
      <xdr:row>17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DB8E5A-84C0-619A-7D55-D33B3074CD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rnan Iturrieta Espinoza" refreshedDate="45407.718082523148" createdVersion="8" refreshedVersion="8" minRefreshableVersion="3" recordCount="62" xr:uid="{B84DFC2A-DAB6-4B0E-83BE-EB21ED53A526}">
  <cacheSource type="worksheet">
    <worksheetSource ref="A3:O74" sheet="DATA"/>
  </cacheSource>
  <cacheFields count="15">
    <cacheField name="Material" numFmtId="0">
      <sharedItems containsString="0" containsBlank="1" containsNumber="1" containsInteger="1" minValue="7600125" maxValue="7692924"/>
    </cacheField>
    <cacheField name="Descripción Dieta" numFmtId="0">
      <sharedItems containsBlank="1"/>
    </cacheField>
    <cacheField name="Doc.vtas." numFmtId="0">
      <sharedItems containsString="0" containsBlank="1" containsNumber="1" containsInteger="1" minValue="6012413978" maxValue="6012463423"/>
    </cacheField>
    <cacheField name="CENTRO" numFmtId="0">
      <sharedItems containsBlank="1"/>
    </cacheField>
    <cacheField name="CALIBRE" numFmtId="0">
      <sharedItems containsString="0" containsBlank="1" containsNumber="1" containsInteger="1" minValue="2" maxValue="12"/>
    </cacheField>
    <cacheField name="PRIMERA FECHA" numFmtId="0">
      <sharedItems containsNonDate="0" containsDate="1" containsString="0" containsBlank="1" minDate="2024-04-22T00:00:00" maxDate="2024-06-01T00:00:00"/>
    </cacheField>
    <cacheField name="FECHA LIMITE PRODUCCION" numFmtId="0">
      <sharedItems containsNonDate="0" containsDate="1" containsString="0" containsBlank="1" minDate="2024-04-20T00:00:00" maxDate="2024-05-26T00:00:00"/>
    </cacheField>
    <cacheField name="CLIENTE" numFmtId="0">
      <sharedItems containsBlank="1" count="7">
        <s v="CMQ"/>
        <s v="RUSIA"/>
        <s v="MEF"/>
        <s v="VTQ"/>
        <s v="AUSTRALIS"/>
        <s v="MOWI"/>
        <m/>
      </sharedItems>
    </cacheField>
    <cacheField name="ADELANTO FECHA" numFmtId="0">
      <sharedItems containsString="0" containsBlank="1" containsNumber="1" containsInteger="1" minValue="2" maxValue="10"/>
    </cacheField>
    <cacheField name="Analisis" numFmtId="0">
      <sharedItems containsString="0" containsBlank="1" containsNumber="1" containsInteger="1" minValue="2" maxValue="2"/>
    </cacheField>
    <cacheField name="Adelanto total" numFmtId="0">
      <sharedItems containsString="0" containsBlank="1" containsNumber="1" containsInteger="1" minValue="2" maxValue="12"/>
    </cacheField>
    <cacheField name="Tipo de Dieta" numFmtId="0">
      <sharedItems containsBlank="1"/>
    </cacheField>
    <cacheField name="FORMATO" numFmtId="0">
      <sharedItems containsBlank="1"/>
    </cacheField>
    <cacheField name="CANTIDAD SELECCIONADA" numFmtId="0">
      <sharedItems containsString="0" containsBlank="1" containsNumber="1" containsInteger="1" minValue="0" maxValue="260000"/>
    </cacheField>
    <cacheField name="CANTIDAD TOTAL" numFmtId="0">
      <sharedItems containsString="0" containsBlank="1" containsNumber="1" containsInteger="1" minValue="1000" maxValue="26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rnan Iturrieta Espinoza" refreshedDate="45407.718446643521" createdVersion="8" refreshedVersion="8" minRefreshableVersion="3" recordCount="71" xr:uid="{9053ECF5-CF7D-43FC-A27A-0FA3B5EDE4F0}">
  <cacheSource type="worksheet">
    <worksheetSource ref="A3:P74" sheet="DATA"/>
  </cacheSource>
  <cacheFields count="16">
    <cacheField name="Material" numFmtId="0">
      <sharedItems containsString="0" containsBlank="1" containsNumber="1" containsInteger="1" minValue="7600125" maxValue="7692924"/>
    </cacheField>
    <cacheField name="Descripción Dieta" numFmtId="0">
      <sharedItems containsBlank="1"/>
    </cacheField>
    <cacheField name="Doc.vtas." numFmtId="0">
      <sharedItems containsString="0" containsBlank="1" containsNumber="1" containsInteger="1" minValue="6012413978" maxValue="6012463423"/>
    </cacheField>
    <cacheField name="CENTRO" numFmtId="0">
      <sharedItems containsBlank="1"/>
    </cacheField>
    <cacheField name="CALIBRE" numFmtId="0">
      <sharedItems containsString="0" containsBlank="1" containsNumber="1" containsInteger="1" minValue="2" maxValue="12" count="7">
        <n v="9"/>
        <n v="4"/>
        <n v="2"/>
        <n v="3"/>
        <n v="6"/>
        <n v="12"/>
        <m/>
      </sharedItems>
    </cacheField>
    <cacheField name="PRIMERA FECHA" numFmtId="0">
      <sharedItems containsNonDate="0" containsDate="1" containsString="0" containsBlank="1" minDate="2024-04-22T00:00:00" maxDate="2024-06-01T00:00:00"/>
    </cacheField>
    <cacheField name="FECHA LIMITE PRODUCCION" numFmtId="0">
      <sharedItems containsNonDate="0" containsDate="1" containsString="0" containsBlank="1" minDate="2024-04-20T00:00:00" maxDate="2024-05-26T00:00:00"/>
    </cacheField>
    <cacheField name="CLIENTE" numFmtId="0">
      <sharedItems containsBlank="1"/>
    </cacheField>
    <cacheField name="ADELANTO FECHA" numFmtId="0">
      <sharedItems containsString="0" containsBlank="1" containsNumber="1" containsInteger="1" minValue="2" maxValue="10"/>
    </cacheField>
    <cacheField name="Analisis" numFmtId="0">
      <sharedItems containsString="0" containsBlank="1" containsNumber="1" containsInteger="1" minValue="2" maxValue="2"/>
    </cacheField>
    <cacheField name="Adelanto total" numFmtId="0">
      <sharedItems containsString="0" containsBlank="1" containsNumber="1" containsInteger="1" minValue="2" maxValue="12"/>
    </cacheField>
    <cacheField name="Tipo de Dieta" numFmtId="0">
      <sharedItems containsBlank="1" count="3">
        <s v="MEDICADO"/>
        <s v="NORMAL"/>
        <m/>
      </sharedItems>
    </cacheField>
    <cacheField name="FORMATO" numFmtId="0">
      <sharedItems containsBlank="1"/>
    </cacheField>
    <cacheField name="CANTIDAD SELECCIONADA" numFmtId="0">
      <sharedItems containsString="0" containsBlank="1" containsNumber="1" containsInteger="1" minValue="0" maxValue="260000"/>
    </cacheField>
    <cacheField name="CANTIDAD TOTAL" numFmtId="0">
      <sharedItems containsString="0" containsBlank="1" containsNumber="1" containsInteger="1" minValue="1000" maxValue="260000"/>
    </cacheField>
    <cacheField name="22-04-2024" numFmtId="0">
      <sharedItems containsString="0" containsBlank="1" containsNumber="1" containsInteger="1" minValue="75000" maxValue="7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n v="7692862"/>
    <s v="(-)(N)(M)(38)(37,5)//SFM XG 2009 - CQ, ASTAXANTINA 10% 80,000 PPM, FLORFENICOL 50% (STIM CHILE S.A) 6,000 KGT"/>
    <n v="6012421714"/>
    <s v="CERMAQ CHILE S.A."/>
    <n v="9"/>
    <d v="2024-04-23T00:00:00"/>
    <d v="2024-04-21T00:00:00"/>
    <x v="0"/>
    <m/>
    <n v="2"/>
    <n v="2"/>
    <s v="MEDICADO"/>
    <s v="MAXISACO 1250 KILOS"/>
    <n v="75000"/>
    <n v="75000"/>
  </r>
  <r>
    <n v="7692862"/>
    <s v="(-)(N)(M)(38)(37,5)//SFM XG 2009 - CQ, ASTAXANTINA 10% 80,000 PPM, FLORFENICOL 50% (STIM CHILE S.A) 6,000 KGT"/>
    <n v="6012427839"/>
    <s v="CERMAQ CHILE S.A."/>
    <n v="9"/>
    <d v="2024-04-22T00:00:00"/>
    <d v="2024-04-20T00:00:00"/>
    <x v="0"/>
    <m/>
    <n v="2"/>
    <n v="2"/>
    <s v="MEDICADO"/>
    <s v="MAXISACO 1250 KILOS"/>
    <n v="75000"/>
    <n v="75000"/>
  </r>
  <r>
    <n v="7692883"/>
    <s v="(-)(N)(B)(24)(42)//LEMUY 250 EXP, ASTAXANTINA 10% 80,000 PPM"/>
    <n v="6012432903"/>
    <s v="LLC &quot;SALTRA&quot;"/>
    <n v="4"/>
    <d v="2024-04-24T00:00:00"/>
    <d v="2024-04-22T00:00:00"/>
    <x v="1"/>
    <m/>
    <n v="2"/>
    <n v="2"/>
    <s v="NORMAL"/>
    <s v="BOLSA 25 KILOS"/>
    <n v="104000"/>
    <n v="104000"/>
  </r>
  <r>
    <n v="7692887"/>
    <s v="(-)(N)(B)(20)(44)//TR-2242-02 EXP"/>
    <n v="6012433361"/>
    <s v="LLC &quot;SALTRA&quot;"/>
    <n v="2"/>
    <d v="2024-04-24T00:00:00"/>
    <d v="2024-04-22T00:00:00"/>
    <x v="1"/>
    <m/>
    <n v="2"/>
    <n v="2"/>
    <s v="NORMAL"/>
    <s v="BOLSA 25 KILOS"/>
    <n v="26000"/>
    <n v="26000"/>
  </r>
  <r>
    <n v="7692888"/>
    <s v="(-)(N)(B)(20)(44)//TR-2242-03 EXP"/>
    <n v="6012433458"/>
    <s v="LLC &quot;SALTRA&quot;"/>
    <n v="3"/>
    <d v="2024-04-24T00:00:00"/>
    <d v="2024-04-22T00:00:00"/>
    <x v="1"/>
    <m/>
    <n v="2"/>
    <n v="2"/>
    <s v="NORMAL"/>
    <s v="BOLSA 25 KILOS"/>
    <n v="52000"/>
    <n v="52000"/>
  </r>
  <r>
    <n v="7692885"/>
    <s v="(-)(N)(B)(24)(39,5)//LEMUY 1000 EXP, ASTAXANTINA 10% 80,000 PPM"/>
    <n v="6012433635"/>
    <s v="LLC &quot;SALTRA&quot;"/>
    <n v="9"/>
    <d v="2024-04-24T00:00:00"/>
    <d v="2024-04-22T00:00:00"/>
    <x v="1"/>
    <m/>
    <n v="2"/>
    <n v="2"/>
    <s v="NORMAL"/>
    <s v="BOLSA 25 KILOS"/>
    <n v="180000"/>
    <n v="180000"/>
  </r>
  <r>
    <n v="7692879"/>
    <s v="(-)(N)(M)(26)(43)//EXPLORADOR 500, ASTAXANTINA 10% 100,000 PPM"/>
    <n v="6012433792"/>
    <s v="LLC &quot;SALTRA&quot;"/>
    <n v="6"/>
    <d v="2024-04-24T00:00:00"/>
    <d v="2024-04-22T00:00:00"/>
    <x v="1"/>
    <m/>
    <n v="2"/>
    <n v="2"/>
    <s v="NORMAL"/>
    <s v="MAXISACO 1250 KILOS"/>
    <n v="1000"/>
    <n v="1000"/>
  </r>
  <r>
    <n v="7692884"/>
    <s v="(-)(N)(B)(24)(39,5)//LEMUY 500 EXP, ASTAXANTINA 10% 80,000 PPM"/>
    <n v="6012433815"/>
    <s v="LLC &quot;SALTRA&quot;"/>
    <n v="6"/>
    <d v="2024-04-24T00:00:00"/>
    <d v="2024-04-22T00:00:00"/>
    <x v="1"/>
    <m/>
    <n v="2"/>
    <n v="2"/>
    <s v="NORMAL"/>
    <s v="BOLSA 25 KILOS"/>
    <n v="260000"/>
    <n v="260000"/>
  </r>
  <r>
    <n v="7692880"/>
    <s v="(-)(N)(M)(27)(37)//EXPLORADOR 1000, ASTAXANTINA 10% 100,000 PPM"/>
    <n v="6012433828"/>
    <s v="LLC &quot;SALTRA&quot;"/>
    <n v="9"/>
    <d v="2024-04-24T00:00:00"/>
    <d v="2024-04-22T00:00:00"/>
    <x v="1"/>
    <m/>
    <n v="2"/>
    <n v="2"/>
    <s v="NORMAL"/>
    <s v="MAXISACO 1250 KILOS"/>
    <n v="1000"/>
    <n v="1000"/>
  </r>
  <r>
    <n v="7692552"/>
    <s v="(X-PP)(N)(M)(38,5)(37,5)//EXPLORADOR XG (N3+) 2009, ASTAXANTINA 10% 60,000 PPM, PREMIX CQ 1,000 PKT"/>
    <n v="6012434593"/>
    <s v="CERMAQ-DUCAÑAS"/>
    <n v="9"/>
    <d v="2024-05-20T00:00:00"/>
    <d v="2024-05-15T00:00:00"/>
    <x v="0"/>
    <n v="3"/>
    <n v="2"/>
    <n v="5"/>
    <s v="NORMAL"/>
    <s v="MAXISACO 1250 KILOS"/>
    <n v="0"/>
    <n v="150000"/>
  </r>
  <r>
    <n v="7692552"/>
    <s v="(X-PP)(N)(M)(38,5)(37,5)//EXPLORADOR XG (N3+) 2009, ASTAXANTINA 10% 60,000 PPM, PREMIX CQ 1,000 PKT"/>
    <n v="6012437331"/>
    <s v="CERMAQ-DUCAÑAS"/>
    <n v="9"/>
    <d v="2024-05-24T00:00:00"/>
    <d v="2024-05-19T00:00:00"/>
    <x v="0"/>
    <n v="3"/>
    <n v="2"/>
    <n v="5"/>
    <s v="NORMAL"/>
    <s v="MAXISACO 1250 KILOS"/>
    <n v="0"/>
    <n v="150000"/>
  </r>
  <r>
    <n v="7692552"/>
    <s v="(X-PP)(N)(M)(38,5)(37,5)//EXPLORADOR XG (N3+) 2009, ASTAXANTINA 10% 60,000 PPM, PREMIX CQ 1,000 PKT"/>
    <n v="6012438015"/>
    <s v="CERMAQ-DUCAÑAS"/>
    <n v="9"/>
    <d v="2024-05-16T00:00:00"/>
    <d v="2024-05-11T00:00:00"/>
    <x v="0"/>
    <n v="3"/>
    <n v="2"/>
    <n v="5"/>
    <s v="NORMAL"/>
    <s v="MAXISACO 1250 KILOS"/>
    <n v="150000"/>
    <n v="150000"/>
  </r>
  <r>
    <n v="7692552"/>
    <s v="(X-PP)(N)(M)(38,5)(37,5)//EXPLORADOR XG (N3+) 2009, ASTAXANTINA 10% 70,000 PPM, EXTRA HISTIDINA + 0.01% 31,000 PKT, AntiOx+ 1,000 PKT"/>
    <n v="6012437394"/>
    <s v="CERMAQ-CALEN 2"/>
    <n v="9"/>
    <d v="2024-05-21T00:00:00"/>
    <d v="2024-05-16T00:00:00"/>
    <x v="0"/>
    <n v="3"/>
    <n v="2"/>
    <n v="5"/>
    <s v="NORMAL"/>
    <s v="MAXISACO 1250 KILOS"/>
    <n v="0"/>
    <n v="200000"/>
  </r>
  <r>
    <n v="7692552"/>
    <s v="(X-PP)(N)(M)(38,5)(37,5)//EXPLORADOR XG (N3+) 2009, ASTAXANTINA 10% 70,000 PPM, AntiOx+ 1,000 PKT, EXTRA HISTIDINA + 0.01% 31,000 PKT"/>
    <n v="6012413978"/>
    <s v="CERMAQ-CALEN 2"/>
    <n v="9"/>
    <d v="2024-05-14T00:00:00"/>
    <d v="2024-05-09T00:00:00"/>
    <x v="0"/>
    <n v="3"/>
    <n v="2"/>
    <n v="5"/>
    <s v="NORMAL"/>
    <s v="MAXISACO 1250 KILOS"/>
    <n v="100000"/>
    <n v="180000"/>
  </r>
  <r>
    <n v="7692794"/>
    <s v="(XI-TERRESTRE)(N)(M)(37)(38)//EXPLORADOR XG 2500 (9) - MULTIX, ASTAXANTINA 10% 60,000 PPM, BUTIMIX 1,000 KGT"/>
    <n v="6012445706"/>
    <s v="MULTIEXPORT-CHALACAYEC"/>
    <n v="9"/>
    <d v="2024-05-20T00:00:00"/>
    <d v="2024-05-16T00:00:00"/>
    <x v="2"/>
    <n v="2"/>
    <n v="2"/>
    <n v="4"/>
    <s v="NORMAL"/>
    <s v="MAXISACO 1250 KILOS"/>
    <n v="0"/>
    <n v="165000"/>
  </r>
  <r>
    <n v="7692794"/>
    <s v="(XI-TERRESTRE)(N)(M)(37)(38)//EXPLORADOR XG 2500 (9) - MULTIX, ASTAXANTINA 10% 60,000 PPM, BUTIMIX 1,000 KGT"/>
    <n v="6012448084"/>
    <s v="MULTIEXPORT-CHALACAYEC"/>
    <n v="9"/>
    <d v="2024-05-25T00:00:00"/>
    <d v="2024-05-21T00:00:00"/>
    <x v="2"/>
    <n v="2"/>
    <n v="2"/>
    <n v="4"/>
    <s v="NORMAL"/>
    <s v="MAXISACO 1250 KILOS"/>
    <n v="0"/>
    <n v="137500"/>
  </r>
  <r>
    <n v="7692794"/>
    <s v="(XI-SPOT)(N)(M)(37)(38)//EXPLORADOR XG 2500 (9) - MULTIX, ASTAXANTINA 10% 60,000 PPM, BUTIMIX 1,000 KGT"/>
    <n v="6012445707"/>
    <s v="MULTIEXPORT-CHAPARANO"/>
    <n v="9"/>
    <d v="2024-05-15T00:00:00"/>
    <d v="2024-05-11T00:00:00"/>
    <x v="2"/>
    <n v="2"/>
    <n v="2"/>
    <n v="4"/>
    <s v="NORMAL"/>
    <s v="MAXISACO 1250 KILOS"/>
    <n v="82500"/>
    <n v="82500"/>
  </r>
  <r>
    <n v="7692794"/>
    <s v="(XI-SPOT)(N)(M)(37)(38)//EXPLORADOR XG 2500 (9) - MULTIX, ASTAXANTINA 10% 60,000 PPM, BUTIMIX 1,000 KGT"/>
    <n v="6012445708"/>
    <s v="MULTIEXPORT-CHAPARANO"/>
    <n v="9"/>
    <d v="2024-05-11T00:00:00"/>
    <d v="2024-05-07T00:00:00"/>
    <x v="2"/>
    <n v="2"/>
    <n v="2"/>
    <n v="4"/>
    <s v="NORMAL"/>
    <s v="MAXISACO 1250 KILOS"/>
    <n v="82500"/>
    <n v="137500"/>
  </r>
  <r>
    <n v="7692794"/>
    <s v="(XI-SPOT)(N)(M)(37)(38)//EXPLORADOR XG 2500 (9) - MULTIX, ASTAXANTINA 10% 60,000 PPM, BUTIMIX 1,000 KGT"/>
    <n v="6012448365"/>
    <s v="MULTIEXPORT-CHAPARANO"/>
    <n v="9"/>
    <d v="2024-05-22T00:00:00"/>
    <d v="2024-05-18T00:00:00"/>
    <x v="2"/>
    <n v="2"/>
    <n v="2"/>
    <n v="4"/>
    <s v="NORMAL"/>
    <s v="MAXISACO 1250 KILOS"/>
    <n v="0"/>
    <n v="192500"/>
  </r>
  <r>
    <n v="7692794"/>
    <s v="(X-SPOT)(N)(M)(37)(38)//EXPLORADOR XG 2500 (9) - MULTIX, ASTAXANTINA 10% 60,000 PPM"/>
    <n v="6012448267"/>
    <s v="MULTIEXPORT-LLAGUEPE"/>
    <n v="9"/>
    <d v="2024-05-13T00:00:00"/>
    <d v="2024-05-09T00:00:00"/>
    <x v="2"/>
    <n v="2"/>
    <n v="2"/>
    <n v="4"/>
    <s v="NORMAL"/>
    <s v="MAXISACO 1250 KILOS"/>
    <n v="55000"/>
    <n v="110000"/>
  </r>
  <r>
    <n v="7692794"/>
    <s v="(X-SPOT)(N)(M)(37)(38)//EXPLORADOR XG 2500 (9) - MULTIX, ASTAXANTINA 10% 60,000 PPM"/>
    <n v="6012448268"/>
    <s v="MULTIEXPORT-LLAGUEPE"/>
    <n v="9"/>
    <d v="2024-05-17T00:00:00"/>
    <d v="2024-05-13T00:00:00"/>
    <x v="2"/>
    <n v="2"/>
    <n v="2"/>
    <n v="4"/>
    <s v="NORMAL"/>
    <s v="MAXISACO 1250 KILOS"/>
    <n v="0"/>
    <n v="55000"/>
  </r>
  <r>
    <n v="7600127"/>
    <s v="(X-PP)(N)(M)(36)(36)//EXPLORADOR AE 2000-VTQ, ASTAXANTINA 10% 80,000 PPM"/>
    <n v="6012446538"/>
    <s v="PROD.VENTISQUEROS-MORROLOBOS"/>
    <n v="12"/>
    <d v="2024-05-18T00:00:00"/>
    <d v="2024-05-13T00:00:00"/>
    <x v="3"/>
    <n v="3"/>
    <n v="2"/>
    <n v="5"/>
    <s v="NORMAL"/>
    <s v="MAXISACO 1250 KILOS"/>
    <n v="0"/>
    <n v="100000"/>
  </r>
  <r>
    <n v="7600127"/>
    <s v="(X-PP)(N)(M)(36)(36)//EXPLORADOR AE 2000-VTQ, ASTAXANTINA 10% 80,000 PPM"/>
    <n v="6012446539"/>
    <s v="PROD.VENTISQUEROS-MORROLOBOS"/>
    <n v="12"/>
    <d v="2024-05-11T00:00:00"/>
    <d v="2024-05-06T00:00:00"/>
    <x v="3"/>
    <n v="3"/>
    <n v="2"/>
    <n v="5"/>
    <s v="NORMAL"/>
    <s v="MAXISACO 1250 KILOS"/>
    <n v="150000"/>
    <n v="250000"/>
  </r>
  <r>
    <n v="7692557"/>
    <s v="(XI-PP)(N)(M)(34)(41,5)//EXPLORADOR XG 500, ASTAXANTINA 10% 90,000 PPM"/>
    <n v="6012437670"/>
    <s v="AUSTRALIS-HUMOS 5"/>
    <n v="6"/>
    <d v="2024-05-28T00:00:00"/>
    <d v="2024-05-16T00:00:00"/>
    <x v="4"/>
    <n v="10"/>
    <n v="2"/>
    <n v="12"/>
    <s v="NORMAL"/>
    <s v="MAXISACO 1250 KILOS"/>
    <n v="0"/>
    <n v="80000"/>
  </r>
  <r>
    <n v="7692560"/>
    <s v="(XI-PP)(N)(M)(39,5)(37)//EXPLORADOR XG 3000, ASTAXANTINA 10% 90,000 PPM"/>
    <n v="6012437994"/>
    <s v="AUSTRALIS-HUMOS 6"/>
    <n v="12"/>
    <d v="2024-05-20T00:00:00"/>
    <d v="2024-05-08T00:00:00"/>
    <x v="4"/>
    <n v="10"/>
    <n v="2"/>
    <n v="12"/>
    <s v="NORMAL"/>
    <s v="MAXISACO 1250 KILOS"/>
    <n v="80000"/>
    <n v="130000"/>
  </r>
  <r>
    <n v="7692560"/>
    <s v="(XI-PP)(N)(M)(39,5)(37)//EXPLORADOR XG 3000, ASTAXANTINA 10% 90,000 PPM"/>
    <n v="6012438028"/>
    <s v="AUSTRALIS-MELCHOR 4"/>
    <n v="12"/>
    <d v="2024-05-20T00:00:00"/>
    <d v="2024-05-08T00:00:00"/>
    <x v="4"/>
    <n v="10"/>
    <n v="2"/>
    <n v="12"/>
    <s v="NORMAL"/>
    <s v="MAXISACO 1250 KILOS"/>
    <n v="60000"/>
    <n v="120000"/>
  </r>
  <r>
    <n v="7692560"/>
    <s v="(XI-PP)(N)(M)(39,5)(37)//EXPLORADOR XG 3000, ASTAXANTINA 10% 90,000 PPM"/>
    <n v="6012438066"/>
    <s v="AUSTRALIS-HUMOS 6"/>
    <n v="12"/>
    <d v="2024-05-27T00:00:00"/>
    <d v="2024-05-15T00:00:00"/>
    <x v="4"/>
    <n v="10"/>
    <n v="2"/>
    <n v="12"/>
    <s v="NORMAL"/>
    <s v="MAXISACO 1250 KILOS"/>
    <n v="0"/>
    <n v="32500"/>
  </r>
  <r>
    <n v="7692560"/>
    <s v="(XI-PP)(N)(M)(39,5)(37)//EXPLORADOR XG 3000, ASTAXANTINA 10% 90,000 PPM"/>
    <n v="6012438113"/>
    <s v="AUSTRALIS-MELCHOR 4"/>
    <n v="12"/>
    <d v="2024-05-25T00:00:00"/>
    <d v="2024-05-13T00:00:00"/>
    <x v="4"/>
    <n v="10"/>
    <n v="2"/>
    <n v="12"/>
    <s v="NORMAL"/>
    <s v="MAXISACO 1250 KILOS"/>
    <n v="0"/>
    <n v="60000"/>
  </r>
  <r>
    <n v="7692560"/>
    <s v="(XI-TERRESTRE)(N)(M)(39,5)(37)//EXPLORADOR XG 3000, ASTAXANTINA 10% 80,000 PPM"/>
    <n v="6012438064"/>
    <s v="AUSTRALIS-CORDOVA 2"/>
    <n v="12"/>
    <d v="2024-05-12T00:00:00"/>
    <d v="2024-05-08T00:00:00"/>
    <x v="4"/>
    <n v="2"/>
    <n v="2"/>
    <n v="4"/>
    <s v="NORMAL"/>
    <s v="MAXISACO 1250 KILOS"/>
    <n v="100000"/>
    <n v="210000"/>
  </r>
  <r>
    <n v="7600125"/>
    <s v="(X-PP)(N)(M)(30)(39)//EXPLORADOR AE 500-VTQ, ASTAXANTINA 10% 80,000 PPM, L-END 1,000 KGT"/>
    <n v="6012447243"/>
    <s v="PROD.VENTISQUEROS-ICA"/>
    <n v="6"/>
    <d v="2024-05-25T00:00:00"/>
    <d v="2024-05-19T00:00:00"/>
    <x v="3"/>
    <n v="4"/>
    <n v="2"/>
    <n v="6"/>
    <s v="NORMAL"/>
    <s v="MAXISACO 1250 KILOS"/>
    <n v="0"/>
    <n v="20000"/>
  </r>
  <r>
    <n v="7600154"/>
    <s v="(X-PP)(N)(M)(39,5)(37)//EXPLORADOR XG 3000 -VTQ, FUTERPENOL 1,000 KGT, ASTAXANTINA 10% 80,000 PPM, COBRO-ADICION ADITIVO (SF) 1,000, KOMBO SHIELD 5,000 L"/>
    <n v="6012447780"/>
    <s v="PROD.VENTISQUEROS-LINGUAR"/>
    <n v="12"/>
    <d v="2024-05-21T00:00:00"/>
    <d v="2024-05-15T00:00:00"/>
    <x v="3"/>
    <n v="4"/>
    <n v="2"/>
    <n v="6"/>
    <s v="NORMAL"/>
    <s v="MAXISACO 1250 KILOS"/>
    <n v="0"/>
    <n v="125000"/>
  </r>
  <r>
    <n v="7600154"/>
    <s v="(X-PP)(N)(M)(39,5)(37)//EXPLORADOR XG 3000 -VTQ, ASTAXANTINA 10% 80,000 PPM, KOMBO SHIELD 5,000 L, COBRO-ADICION ADITIVO (SF) 1,000"/>
    <n v="6012447918"/>
    <s v="PROD.VENTISQUEROS-LINGUAR"/>
    <n v="12"/>
    <d v="2024-05-31T00:00:00"/>
    <d v="2024-05-25T00:00:00"/>
    <x v="3"/>
    <n v="4"/>
    <n v="2"/>
    <n v="6"/>
    <s v="NORMAL"/>
    <s v="MAXISACO 1250 KILOS"/>
    <n v="0"/>
    <n v="50000"/>
  </r>
  <r>
    <n v="7600154"/>
    <s v="(X-PP)(N)(M)(39,5)(37)//EXPLORADOR XG 3000 -VTQ, ASTAXANTINA 10% 80,000 PPM, L-END 1,000 KGT, PAQ - XTRACT 1,500 KGT"/>
    <n v="6012448022"/>
    <s v="PROD.VENTISQUEROS-PITIHORNO SUR"/>
    <n v="12"/>
    <d v="2024-05-20T00:00:00"/>
    <d v="2024-05-14T00:00:00"/>
    <x v="3"/>
    <n v="4"/>
    <n v="2"/>
    <n v="6"/>
    <s v="NORMAL"/>
    <s v="MAXISACO 1250 KILOS"/>
    <n v="0"/>
    <n v="80000"/>
  </r>
  <r>
    <n v="7600154"/>
    <s v="(X-PP)(N)(M)(39,5)(37)//EXPLORADOR XG 3000 -VTQ, ASTAXANTINA 10% 80,000 PPM, L-END 1,000 KGT, PAQ - XTRACT 1,500 KGT"/>
    <n v="6012448025"/>
    <s v="PROD.VENTISQUEROS-PITIHORNO SUR"/>
    <n v="12"/>
    <d v="2024-05-15T00:00:00"/>
    <d v="2024-05-09T00:00:00"/>
    <x v="3"/>
    <n v="4"/>
    <n v="2"/>
    <n v="6"/>
    <s v="NORMAL"/>
    <s v="MAXISACO 1250 KILOS"/>
    <n v="70000"/>
    <n v="150000"/>
  </r>
  <r>
    <n v="7600154"/>
    <s v="(X-PP)(N)(M)(39,5)(37)//EXPLORADOR XG 3000 -VTQ, ASTAXANTINA 10% 80,000 PPM, Extra n3 EPA+DHA (USD/+0,5% incl) 4,000 PKT, L-END 1,000 KGT, PAQ - XTRACT 1,500 KGT"/>
    <n v="6012448026"/>
    <s v="PROD.VENTISQUEROS-PITIHORNO SUR"/>
    <n v="12"/>
    <d v="2024-05-20T00:00:00"/>
    <d v="2024-05-14T00:00:00"/>
    <x v="3"/>
    <n v="4"/>
    <n v="2"/>
    <n v="6"/>
    <s v="NORMAL"/>
    <s v="MAXISACO 1250 KILOS"/>
    <n v="0"/>
    <n v="80000"/>
  </r>
  <r>
    <n v="7600154"/>
    <s v="(X-PP)(N)(M)(39,5)(37)//EXPLORADOR XG 3000 -VTQ, ASTAXANTINA 10% 80,000 PPM, Extra n3 EPA+DHA (USD/+0,5% incl) 4,000 PKT, L-END 1,000 KGT, PAQ - XTRACT 1,500 KGT"/>
    <n v="6012448028"/>
    <s v="PROD.VENTISQUEROS-PITIHORNO SUR"/>
    <n v="12"/>
    <d v="2024-05-15T00:00:00"/>
    <d v="2024-05-09T00:00:00"/>
    <x v="3"/>
    <n v="4"/>
    <n v="2"/>
    <n v="6"/>
    <s v="NORMAL"/>
    <s v="MAXISACO 1250 KILOS"/>
    <n v="60000"/>
    <n v="140000"/>
  </r>
  <r>
    <n v="7692588"/>
    <s v="(XI-PP)(N)(M)(38,5)(37,5)//EXPLORADOR XG 2009, ASTAXANTINA 10% 90,000 PPM"/>
    <n v="6012437883"/>
    <s v="AUSTRALIS-HUMOS 6"/>
    <n v="9"/>
    <d v="2024-05-27T00:00:00"/>
    <d v="2024-05-15T00:00:00"/>
    <x v="4"/>
    <n v="10"/>
    <n v="2"/>
    <n v="12"/>
    <s v="NORMAL"/>
    <s v="MAXISACO 1250 KILOS"/>
    <n v="0"/>
    <n v="13750"/>
  </r>
  <r>
    <n v="7692793"/>
    <s v="(XI-TERRESTRE)(N)(M)(36)(38)//EXPLORADOR XG 1000 - MULTIX, ASTAXANTINA 10% 60,000 PPM"/>
    <n v="6012446344"/>
    <s v="MULTIEXPORT-IZAZA"/>
    <n v="9"/>
    <d v="2024-05-13T00:00:00"/>
    <d v="2024-05-09T00:00:00"/>
    <x v="2"/>
    <n v="2"/>
    <n v="2"/>
    <n v="4"/>
    <s v="NORMAL"/>
    <s v="MAXISACO 1250 KILOS"/>
    <n v="82500"/>
    <n v="165000"/>
  </r>
  <r>
    <n v="7692793"/>
    <s v="(XI-TERRESTRE)(N)(M)(36)(38)//EXPLORADOR XG 1000 - MULTIX, ASTAXANTINA 10% 60,000 PPM"/>
    <n v="6012448266"/>
    <s v="MULTIEXPORT-IZAZA"/>
    <n v="9"/>
    <d v="2024-05-18T00:00:00"/>
    <d v="2024-05-14T00:00:00"/>
    <x v="2"/>
    <n v="2"/>
    <n v="2"/>
    <n v="4"/>
    <s v="NORMAL"/>
    <s v="MAXISACO 1250 KILOS"/>
    <n v="0"/>
    <n v="165000"/>
  </r>
  <r>
    <n v="7692795"/>
    <s v="(X-SPOT)(N)(M)(37)(38)//EXPLORADOR XG 4000 (9) - MULTIX, ASTAXANTINA 10% 60,000 PPM"/>
    <n v="6012448269"/>
    <s v="MULTIEXPORT-LLAGUEPE"/>
    <n v="9"/>
    <d v="2024-05-13T00:00:00"/>
    <d v="2024-05-09T00:00:00"/>
    <x v="2"/>
    <n v="2"/>
    <n v="2"/>
    <n v="4"/>
    <s v="NORMAL"/>
    <s v="MAXISACO 1250 KILOS"/>
    <n v="55000"/>
    <n v="137500"/>
  </r>
  <r>
    <n v="7692795"/>
    <s v="(X-SPOT)(N)(M)(37)(38)//EXPLORADOR XG 4000 (9) - MULTIX, ASTAXANTINA 10% 60,000 PPM"/>
    <n v="6012448270"/>
    <s v="MULTIEXPORT-LLAGUEPE"/>
    <n v="9"/>
    <d v="2024-05-17T00:00:00"/>
    <d v="2024-05-13T00:00:00"/>
    <x v="2"/>
    <n v="2"/>
    <n v="2"/>
    <n v="4"/>
    <s v="NORMAL"/>
    <s v="MAXISACO 1250 KILOS"/>
    <n v="0"/>
    <n v="137500"/>
  </r>
  <r>
    <n v="7692795"/>
    <s v="(XI-SPOT)(N)(M)(37)(38)//EXPLORADOR XG 4000 (9) - MULTIX, ASTAXANTINA 10% 60,000 PPM, BUTIMIX 1,000 KGT"/>
    <n v="6012448265"/>
    <s v="MULTIEXPORT-CHAPARANO"/>
    <n v="9"/>
    <d v="2024-05-15T00:00:00"/>
    <d v="2024-05-11T00:00:00"/>
    <x v="2"/>
    <n v="2"/>
    <n v="2"/>
    <n v="4"/>
    <s v="NORMAL"/>
    <s v="MAXISACO 1250 KILOS"/>
    <n v="55000"/>
    <n v="165000"/>
  </r>
  <r>
    <n v="7692924"/>
    <s v="(-)(N)(M)(38)(37,5)//SFM XG 2000 - MW, ASTAXANTINA 10% 70,000 PPM, BLOCK RECOVER 1,000 PKT, VETERIN 80% Florfenicol - Centrovet 3,500 KGT, CAREBLOCK OXYCARE 1,000 PKT"/>
    <n v="6012442762"/>
    <s v="MOWI CHILE-PALQUI"/>
    <n v="12"/>
    <d v="2024-05-04T00:00:00"/>
    <d v="2024-04-29T00:00:00"/>
    <x v="5"/>
    <n v="3"/>
    <n v="2"/>
    <n v="5"/>
    <s v="MEDICADO"/>
    <s v="MAXISACO 1250 KILOS"/>
    <n v="23750"/>
    <n v="23750"/>
  </r>
  <r>
    <n v="7692924"/>
    <s v="(-)(N)(M)(38)(37,5)//SFM XG 2000 - MW, ASTAXANTINA 10% 70,000 PPM, BLOCK RECOVER 1,000 PKT, FLORFENICOL 50% (FAV CHILE) 6,000 KGT"/>
    <n v="6012444699"/>
    <s v="MOWI CHILE-PALQUI"/>
    <n v="12"/>
    <d v="2024-05-04T00:00:00"/>
    <d v="2024-04-29T00:00:00"/>
    <x v="5"/>
    <n v="3"/>
    <n v="2"/>
    <n v="5"/>
    <s v="MEDICADO"/>
    <s v="MAXISACO 1250 KILOS"/>
    <n v="16250"/>
    <n v="16250"/>
  </r>
  <r>
    <n v="7622071"/>
    <s v="(-)(N)(M)(39,5)(36,5)//EXPLORADOR XG 3000, ASTAXANTINA 10% 70,000 PPM, BLOCK RECOVER 1,000 PKT"/>
    <n v="6012446594"/>
    <s v="MOWI CHILE-PALQUI"/>
    <n v="12"/>
    <d v="2024-05-16T00:00:00"/>
    <d v="2024-05-11T00:00:00"/>
    <x v="5"/>
    <n v="3"/>
    <n v="2"/>
    <n v="5"/>
    <s v="NORMAL"/>
    <s v="MAXISACO 1250 KILOS"/>
    <n v="28750"/>
    <n v="28750"/>
  </r>
  <r>
    <n v="7692734"/>
    <s v="(X-PP)(N)(M)(28)(45)//TRANSFER AE 250, ASTAXANTINA 10% 80,000 PPM, L-END 1,000 KGT"/>
    <n v="6012447396"/>
    <s v="PROD.VENTISQUEROS-ICA"/>
    <n v="4"/>
    <d v="2024-05-25T00:00:00"/>
    <d v="2024-05-19T00:00:00"/>
    <x v="3"/>
    <n v="4"/>
    <n v="2"/>
    <n v="6"/>
    <s v="NORMAL"/>
    <s v="MAXISACO 1250 KILOS"/>
    <n v="0"/>
    <n v="10000"/>
  </r>
  <r>
    <n v="7600151"/>
    <s v="(-)(N)(M)(34)(41,5)//EXPLORADOR XG 500 -VTQ, ASTAXANTINA 10% 80,000 PPM"/>
    <n v="6012447976"/>
    <s v="PROD.VENTISQ-NORTE ISLA FRANCISCO"/>
    <n v="6"/>
    <d v="2024-05-20T00:00:00"/>
    <d v="2024-05-08T00:00:00"/>
    <x v="3"/>
    <n v="10"/>
    <n v="2"/>
    <n v="12"/>
    <s v="NORMAL"/>
    <s v="MAXISACO 1250 KILOS"/>
    <n v="76250"/>
    <n v="76250"/>
  </r>
  <r>
    <n v="7600152"/>
    <s v="(-)(N)(M)(36)(39)//EXPLORADOR XG 1000-VTQ, ASTAXANTINA 10% 80,000 PPM"/>
    <n v="6012447977"/>
    <s v="PROD.VENTISQ-NORTE ISLA FRANCISCO"/>
    <n v="9"/>
    <d v="2024-05-20T00:00:00"/>
    <d v="2024-05-08T00:00:00"/>
    <x v="3"/>
    <n v="10"/>
    <n v="2"/>
    <n v="12"/>
    <s v="NORMAL"/>
    <s v="MAXISACO 1250 KILOS"/>
    <n v="30000"/>
    <n v="30000"/>
  </r>
  <r>
    <n v="7692588"/>
    <s v="(XI-PP)(N)(M)(38,5)(37,5)//EXPLORADOR XG 2009, ASTAXANTINA 10% 90,000 PPM"/>
    <n v="6012452095"/>
    <s v="AUSTRALIS-HUMOS 3"/>
    <n v="9"/>
    <d v="2024-05-17T00:00:00"/>
    <d v="2024-05-05T00:00:00"/>
    <x v="4"/>
    <n v="10"/>
    <n v="2"/>
    <n v="12"/>
    <s v="NORMAL"/>
    <s v="MAXISACO 1250 KILOS"/>
    <n v="40000"/>
    <n v="80000"/>
  </r>
  <r>
    <n v="7692798"/>
    <s v="(-)(N)(M)(34,5)(35,5)//SFM AE 2500 (9) - MULTIX, ASTAXANTINA 10% 60,000 PPM, ATEFLOR 50% (FLORFENICOL) 5,000 KGT"/>
    <n v="6012457022"/>
    <s v="MULTI X S.A."/>
    <n v="9"/>
    <d v="2024-05-04T00:00:00"/>
    <d v="2024-05-02T00:00:00"/>
    <x v="2"/>
    <m/>
    <n v="2"/>
    <n v="2"/>
    <s v="MEDICADO"/>
    <s v="MAXISACO 1250 KILOS"/>
    <n v="150000"/>
    <n v="150000"/>
  </r>
  <r>
    <n v="7692923"/>
    <s v="(X-TERRESTRE)(N)(M)(35)(39)//SFM XG 1000 - MW, ASTAXANTINA 10% 70,000 PPM, VETERIN 80% Florfenicol - Centrovet 2,500 KGT"/>
    <n v="6012453908"/>
    <s v="MOWI CHILE S.A."/>
    <n v="9"/>
    <d v="2024-04-30T00:00:00"/>
    <d v="2024-04-28T00:00:00"/>
    <x v="5"/>
    <m/>
    <n v="2"/>
    <n v="2"/>
    <s v="MEDICADO"/>
    <s v="MAXISACO 1250 KILOS"/>
    <n v="115000"/>
    <n v="115000"/>
  </r>
  <r>
    <n v="7692913"/>
    <s v="(-)(N)(M)(33)(42)//EXPLORADOR XG 300 - MW, ASTAXANTINA 10% 80,000 PPM"/>
    <n v="6012458414"/>
    <s v="MOWI CHILE-PUNTA APIAO"/>
    <n v="6"/>
    <d v="2024-05-13T00:00:00"/>
    <d v="2024-05-08T00:00:00"/>
    <x v="5"/>
    <n v="3"/>
    <n v="2"/>
    <n v="5"/>
    <s v="NORMAL"/>
    <s v="MAXISACO 1250 KILOS"/>
    <n v="70000"/>
    <n v="175000"/>
  </r>
  <r>
    <n v="7692912"/>
    <s v="(-)(N)(B)(0)(0)//TRANSFER SALAR XG100- MW, ASTAXANTINA 10% 80,000 PPM"/>
    <n v="6012462445"/>
    <s v="MOWI CHILE-BAJO LA BARRA"/>
    <n v="9"/>
    <d v="2024-05-10T00:00:00"/>
    <d v="2024-05-05T00:00:00"/>
    <x v="5"/>
    <n v="3"/>
    <n v="2"/>
    <n v="5"/>
    <s v="NORMAL"/>
    <s v="BOLSA 25 KILOS"/>
    <n v="30000"/>
    <n v="65000"/>
  </r>
  <r>
    <n v="7692912"/>
    <s v="(-)(N)(M)(0)(0)//TRANSFER SALAR XG100- MW, ASTAXANTINA 10% 80,000 PPM"/>
    <n v="6012462861"/>
    <s v="MOWI CHILE-BAJO LA BARRA"/>
    <n v="9"/>
    <d v="2024-05-10T00:00:00"/>
    <d v="2024-05-05T00:00:00"/>
    <x v="5"/>
    <n v="3"/>
    <n v="2"/>
    <n v="5"/>
    <s v="NORMAL"/>
    <s v="MAXISACO 1250 KILOS"/>
    <n v="30000"/>
    <n v="60000"/>
  </r>
  <r>
    <n v="7692862"/>
    <s v="(-)(N)(M)(38)(37,5)//SFM XG 2009 - CQ, ASTAXANTINA 10% 80,000 PPM, FLORFENICOL 50% (STIM CHILE S.A) 6,000 KGT"/>
    <n v="6012458260"/>
    <s v="CERMAQ CHILE S.A."/>
    <n v="9"/>
    <d v="2024-05-09T00:00:00"/>
    <d v="2024-05-07T00:00:00"/>
    <x v="0"/>
    <m/>
    <n v="2"/>
    <n v="2"/>
    <s v="MEDICADO"/>
    <s v="MAXISACO 1250 KILOS"/>
    <n v="100000"/>
    <n v="100000"/>
  </r>
  <r>
    <n v="7692733"/>
    <s v="(X-PP)(N)(B)(26)(46)//TRANSFER AE 100 - VTQ, ASTAXANTINA 10% 80,000 PPM, L-END 1,000 KGT"/>
    <n v="6012463423"/>
    <s v="PROD.VENTISQUEROS-ICA"/>
    <n v="3"/>
    <d v="2024-05-15T00:00:00"/>
    <d v="2024-05-09T00:00:00"/>
    <x v="3"/>
    <n v="4"/>
    <n v="2"/>
    <n v="6"/>
    <s v="NORMAL"/>
    <s v="BOLSA 25 KILOS"/>
    <n v="10000"/>
    <n v="10000"/>
  </r>
  <r>
    <n v="7692923"/>
    <s v="(-)(N)(M)(35)(39)//SFM XG 1000 - MW, ASTAXANTINA 10% 80,000 PPM, VETERIN 80% Florfenicol - Centrovet 3,500 KGT"/>
    <n v="6012461642"/>
    <s v="MOWI CHILE-OESTE BAJO MEULIN"/>
    <n v="9"/>
    <d v="2024-05-06T00:00:00"/>
    <d v="2024-05-01T00:00:00"/>
    <x v="5"/>
    <n v="3"/>
    <n v="2"/>
    <n v="5"/>
    <s v="MEDICADO"/>
    <s v="MAXISACO 1250 KILOS"/>
    <n v="158750"/>
    <n v="158750"/>
  </r>
  <r>
    <m/>
    <m/>
    <m/>
    <m/>
    <m/>
    <m/>
    <m/>
    <x v="6"/>
    <m/>
    <m/>
    <m/>
    <m/>
    <m/>
    <m/>
    <m/>
  </r>
  <r>
    <m/>
    <m/>
    <m/>
    <m/>
    <m/>
    <m/>
    <m/>
    <x v="6"/>
    <m/>
    <m/>
    <m/>
    <m/>
    <m/>
    <m/>
    <m/>
  </r>
  <r>
    <m/>
    <m/>
    <m/>
    <m/>
    <m/>
    <m/>
    <m/>
    <x v="6"/>
    <m/>
    <m/>
    <m/>
    <m/>
    <m/>
    <m/>
    <m/>
  </r>
  <r>
    <m/>
    <m/>
    <m/>
    <m/>
    <m/>
    <m/>
    <m/>
    <x v="6"/>
    <m/>
    <m/>
    <m/>
    <m/>
    <m/>
    <m/>
    <m/>
  </r>
  <r>
    <m/>
    <m/>
    <m/>
    <m/>
    <m/>
    <m/>
    <m/>
    <x v="6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n v="7692862"/>
    <s v="(-)(N)(M)(38)(37,5)//SFM XG 2009 - CQ, ASTAXANTINA 10% 80,000 PPM, FLORFENICOL 50% (STIM CHILE S.A) 6,000 KGT"/>
    <n v="6012421714"/>
    <s v="CERMAQ CHILE S.A."/>
    <x v="0"/>
    <d v="2024-04-23T00:00:00"/>
    <d v="2024-04-21T00:00:00"/>
    <s v="CMQ"/>
    <m/>
    <n v="2"/>
    <n v="2"/>
    <x v="0"/>
    <s v="MAXISACO 1250 KILOS"/>
    <n v="75000"/>
    <n v="75000"/>
    <m/>
  </r>
  <r>
    <n v="7692862"/>
    <s v="(-)(N)(M)(38)(37,5)//SFM XG 2009 - CQ, ASTAXANTINA 10% 80,000 PPM, FLORFENICOL 50% (STIM CHILE S.A) 6,000 KGT"/>
    <n v="6012427839"/>
    <s v="CERMAQ CHILE S.A."/>
    <x v="0"/>
    <d v="2024-04-22T00:00:00"/>
    <d v="2024-04-20T00:00:00"/>
    <s v="CMQ"/>
    <m/>
    <n v="2"/>
    <n v="2"/>
    <x v="0"/>
    <s v="MAXISACO 1250 KILOS"/>
    <n v="75000"/>
    <n v="75000"/>
    <n v="75000"/>
  </r>
  <r>
    <n v="7692883"/>
    <s v="(-)(N)(B)(24)(42)//LEMUY 250 EXP, ASTAXANTINA 10% 80,000 PPM"/>
    <n v="6012432903"/>
    <s v="LLC &quot;SALTRA&quot;"/>
    <x v="1"/>
    <d v="2024-04-24T00:00:00"/>
    <d v="2024-04-22T00:00:00"/>
    <s v="RUSIA"/>
    <m/>
    <n v="2"/>
    <n v="2"/>
    <x v="1"/>
    <s v="BOLSA 25 KILOS"/>
    <n v="104000"/>
    <n v="104000"/>
    <m/>
  </r>
  <r>
    <n v="7692887"/>
    <s v="(-)(N)(B)(20)(44)//TR-2242-02 EXP"/>
    <n v="6012433361"/>
    <s v="LLC &quot;SALTRA&quot;"/>
    <x v="2"/>
    <d v="2024-04-24T00:00:00"/>
    <d v="2024-04-22T00:00:00"/>
    <s v="RUSIA"/>
    <m/>
    <n v="2"/>
    <n v="2"/>
    <x v="1"/>
    <s v="BOLSA 25 KILOS"/>
    <n v="26000"/>
    <n v="26000"/>
    <m/>
  </r>
  <r>
    <n v="7692888"/>
    <s v="(-)(N)(B)(20)(44)//TR-2242-03 EXP"/>
    <n v="6012433458"/>
    <s v="LLC &quot;SALTRA&quot;"/>
    <x v="3"/>
    <d v="2024-04-24T00:00:00"/>
    <d v="2024-04-22T00:00:00"/>
    <s v="RUSIA"/>
    <m/>
    <n v="2"/>
    <n v="2"/>
    <x v="1"/>
    <s v="BOLSA 25 KILOS"/>
    <n v="52000"/>
    <n v="52000"/>
    <m/>
  </r>
  <r>
    <n v="7692885"/>
    <s v="(-)(N)(B)(24)(39,5)//LEMUY 1000 EXP, ASTAXANTINA 10% 80,000 PPM"/>
    <n v="6012433635"/>
    <s v="LLC &quot;SALTRA&quot;"/>
    <x v="0"/>
    <d v="2024-04-24T00:00:00"/>
    <d v="2024-04-22T00:00:00"/>
    <s v="RUSIA"/>
    <m/>
    <n v="2"/>
    <n v="2"/>
    <x v="1"/>
    <s v="BOLSA 25 KILOS"/>
    <n v="180000"/>
    <n v="180000"/>
    <m/>
  </r>
  <r>
    <n v="7692879"/>
    <s v="(-)(N)(M)(26)(43)//EXPLORADOR 500, ASTAXANTINA 10% 100,000 PPM"/>
    <n v="6012433792"/>
    <s v="LLC &quot;SALTRA&quot;"/>
    <x v="4"/>
    <d v="2024-04-24T00:00:00"/>
    <d v="2024-04-22T00:00:00"/>
    <s v="RUSIA"/>
    <m/>
    <n v="2"/>
    <n v="2"/>
    <x v="1"/>
    <s v="MAXISACO 1250 KILOS"/>
    <n v="1000"/>
    <n v="1000"/>
    <m/>
  </r>
  <r>
    <n v="7692884"/>
    <s v="(-)(N)(B)(24)(39,5)//LEMUY 500 EXP, ASTAXANTINA 10% 80,000 PPM"/>
    <n v="6012433815"/>
    <s v="LLC &quot;SALTRA&quot;"/>
    <x v="4"/>
    <d v="2024-04-24T00:00:00"/>
    <d v="2024-04-22T00:00:00"/>
    <s v="RUSIA"/>
    <m/>
    <n v="2"/>
    <n v="2"/>
    <x v="1"/>
    <s v="BOLSA 25 KILOS"/>
    <n v="260000"/>
    <n v="260000"/>
    <m/>
  </r>
  <r>
    <n v="7692880"/>
    <s v="(-)(N)(M)(27)(37)//EXPLORADOR 1000, ASTAXANTINA 10% 100,000 PPM"/>
    <n v="6012433828"/>
    <s v="LLC &quot;SALTRA&quot;"/>
    <x v="0"/>
    <d v="2024-04-24T00:00:00"/>
    <d v="2024-04-22T00:00:00"/>
    <s v="RUSIA"/>
    <m/>
    <n v="2"/>
    <n v="2"/>
    <x v="1"/>
    <s v="MAXISACO 1250 KILOS"/>
    <n v="1000"/>
    <n v="1000"/>
    <m/>
  </r>
  <r>
    <n v="7692552"/>
    <s v="(X-PP)(N)(M)(38,5)(37,5)//EXPLORADOR XG (N3+) 2009, ASTAXANTINA 10% 60,000 PPM, PREMIX CQ 1,000 PKT"/>
    <n v="6012434593"/>
    <s v="CERMAQ-DUCAÑAS"/>
    <x v="0"/>
    <d v="2024-05-20T00:00:00"/>
    <d v="2024-05-15T00:00:00"/>
    <s v="CMQ"/>
    <n v="3"/>
    <n v="2"/>
    <n v="5"/>
    <x v="1"/>
    <s v="MAXISACO 1250 KILOS"/>
    <n v="0"/>
    <n v="150000"/>
    <m/>
  </r>
  <r>
    <n v="7692552"/>
    <s v="(X-PP)(N)(M)(38,5)(37,5)//EXPLORADOR XG (N3+) 2009, ASTAXANTINA 10% 60,000 PPM, PREMIX CQ 1,000 PKT"/>
    <n v="6012437331"/>
    <s v="CERMAQ-DUCAÑAS"/>
    <x v="0"/>
    <d v="2024-05-24T00:00:00"/>
    <d v="2024-05-19T00:00:00"/>
    <s v="CMQ"/>
    <n v="3"/>
    <n v="2"/>
    <n v="5"/>
    <x v="1"/>
    <s v="MAXISACO 1250 KILOS"/>
    <n v="0"/>
    <n v="150000"/>
    <m/>
  </r>
  <r>
    <n v="7692552"/>
    <s v="(X-PP)(N)(M)(38,5)(37,5)//EXPLORADOR XG (N3+) 2009, ASTAXANTINA 10% 60,000 PPM, PREMIX CQ 1,000 PKT"/>
    <n v="6012438015"/>
    <s v="CERMAQ-DUCAÑAS"/>
    <x v="0"/>
    <d v="2024-05-16T00:00:00"/>
    <d v="2024-05-11T00:00:00"/>
    <s v="CMQ"/>
    <n v="3"/>
    <n v="2"/>
    <n v="5"/>
    <x v="1"/>
    <s v="MAXISACO 1250 KILOS"/>
    <n v="150000"/>
    <n v="150000"/>
    <m/>
  </r>
  <r>
    <n v="7692552"/>
    <s v="(X-PP)(N)(M)(38,5)(37,5)//EXPLORADOR XG (N3+) 2009, ASTAXANTINA 10% 70,000 PPM, EXTRA HISTIDINA + 0.01% 31,000 PKT, AntiOx+ 1,000 PKT"/>
    <n v="6012437394"/>
    <s v="CERMAQ-CALEN 2"/>
    <x v="0"/>
    <d v="2024-05-21T00:00:00"/>
    <d v="2024-05-16T00:00:00"/>
    <s v="CMQ"/>
    <n v="3"/>
    <n v="2"/>
    <n v="5"/>
    <x v="1"/>
    <s v="MAXISACO 1250 KILOS"/>
    <n v="0"/>
    <n v="200000"/>
    <m/>
  </r>
  <r>
    <n v="7692552"/>
    <s v="(X-PP)(N)(M)(38,5)(37,5)//EXPLORADOR XG (N3+) 2009, ASTAXANTINA 10% 70,000 PPM, AntiOx+ 1,000 PKT, EXTRA HISTIDINA + 0.01% 31,000 PKT"/>
    <n v="6012413978"/>
    <s v="CERMAQ-CALEN 2"/>
    <x v="0"/>
    <d v="2024-05-14T00:00:00"/>
    <d v="2024-05-09T00:00:00"/>
    <s v="CMQ"/>
    <n v="3"/>
    <n v="2"/>
    <n v="5"/>
    <x v="1"/>
    <s v="MAXISACO 1250 KILOS"/>
    <n v="100000"/>
    <n v="180000"/>
    <m/>
  </r>
  <r>
    <n v="7692794"/>
    <s v="(XI-TERRESTRE)(N)(M)(37)(38)//EXPLORADOR XG 2500 (9) - MULTIX, ASTAXANTINA 10% 60,000 PPM, BUTIMIX 1,000 KGT"/>
    <n v="6012445706"/>
    <s v="MULTIEXPORT-CHALACAYEC"/>
    <x v="0"/>
    <d v="2024-05-20T00:00:00"/>
    <d v="2024-05-16T00:00:00"/>
    <s v="MEF"/>
    <n v="2"/>
    <n v="2"/>
    <n v="4"/>
    <x v="1"/>
    <s v="MAXISACO 1250 KILOS"/>
    <n v="0"/>
    <n v="165000"/>
    <m/>
  </r>
  <r>
    <n v="7692794"/>
    <s v="(XI-TERRESTRE)(N)(M)(37)(38)//EXPLORADOR XG 2500 (9) - MULTIX, ASTAXANTINA 10% 60,000 PPM, BUTIMIX 1,000 KGT"/>
    <n v="6012448084"/>
    <s v="MULTIEXPORT-CHALACAYEC"/>
    <x v="0"/>
    <d v="2024-05-25T00:00:00"/>
    <d v="2024-05-21T00:00:00"/>
    <s v="MEF"/>
    <n v="2"/>
    <n v="2"/>
    <n v="4"/>
    <x v="1"/>
    <s v="MAXISACO 1250 KILOS"/>
    <n v="0"/>
    <n v="137500"/>
    <m/>
  </r>
  <r>
    <n v="7692794"/>
    <s v="(XI-SPOT)(N)(M)(37)(38)//EXPLORADOR XG 2500 (9) - MULTIX, ASTAXANTINA 10% 60,000 PPM, BUTIMIX 1,000 KGT"/>
    <n v="6012445707"/>
    <s v="MULTIEXPORT-CHAPARANO"/>
    <x v="0"/>
    <d v="2024-05-15T00:00:00"/>
    <d v="2024-05-11T00:00:00"/>
    <s v="MEF"/>
    <n v="2"/>
    <n v="2"/>
    <n v="4"/>
    <x v="1"/>
    <s v="MAXISACO 1250 KILOS"/>
    <n v="82500"/>
    <n v="82500"/>
    <m/>
  </r>
  <r>
    <n v="7692794"/>
    <s v="(XI-SPOT)(N)(M)(37)(38)//EXPLORADOR XG 2500 (9) - MULTIX, ASTAXANTINA 10% 60,000 PPM, BUTIMIX 1,000 KGT"/>
    <n v="6012445708"/>
    <s v="MULTIEXPORT-CHAPARANO"/>
    <x v="0"/>
    <d v="2024-05-11T00:00:00"/>
    <d v="2024-05-07T00:00:00"/>
    <s v="MEF"/>
    <n v="2"/>
    <n v="2"/>
    <n v="4"/>
    <x v="1"/>
    <s v="MAXISACO 1250 KILOS"/>
    <n v="82500"/>
    <n v="137500"/>
    <m/>
  </r>
  <r>
    <n v="7692794"/>
    <s v="(XI-SPOT)(N)(M)(37)(38)//EXPLORADOR XG 2500 (9) - MULTIX, ASTAXANTINA 10% 60,000 PPM, BUTIMIX 1,000 KGT"/>
    <n v="6012448365"/>
    <s v="MULTIEXPORT-CHAPARANO"/>
    <x v="0"/>
    <d v="2024-05-22T00:00:00"/>
    <d v="2024-05-18T00:00:00"/>
    <s v="MEF"/>
    <n v="2"/>
    <n v="2"/>
    <n v="4"/>
    <x v="1"/>
    <s v="MAXISACO 1250 KILOS"/>
    <n v="0"/>
    <n v="192500"/>
    <m/>
  </r>
  <r>
    <n v="7692794"/>
    <s v="(X-SPOT)(N)(M)(37)(38)//EXPLORADOR XG 2500 (9) - MULTIX, ASTAXANTINA 10% 60,000 PPM"/>
    <n v="6012448267"/>
    <s v="MULTIEXPORT-LLAGUEPE"/>
    <x v="0"/>
    <d v="2024-05-13T00:00:00"/>
    <d v="2024-05-09T00:00:00"/>
    <s v="MEF"/>
    <n v="2"/>
    <n v="2"/>
    <n v="4"/>
    <x v="1"/>
    <s v="MAXISACO 1250 KILOS"/>
    <n v="55000"/>
    <n v="110000"/>
    <m/>
  </r>
  <r>
    <n v="7692794"/>
    <s v="(X-SPOT)(N)(M)(37)(38)//EXPLORADOR XG 2500 (9) - MULTIX, ASTAXANTINA 10% 60,000 PPM"/>
    <n v="6012448268"/>
    <s v="MULTIEXPORT-LLAGUEPE"/>
    <x v="0"/>
    <d v="2024-05-17T00:00:00"/>
    <d v="2024-05-13T00:00:00"/>
    <s v="MEF"/>
    <n v="2"/>
    <n v="2"/>
    <n v="4"/>
    <x v="1"/>
    <s v="MAXISACO 1250 KILOS"/>
    <n v="0"/>
    <n v="55000"/>
    <m/>
  </r>
  <r>
    <n v="7600127"/>
    <s v="(X-PP)(N)(M)(36)(36)//EXPLORADOR AE 2000-VTQ, ASTAXANTINA 10% 80,000 PPM"/>
    <n v="6012446538"/>
    <s v="PROD.VENTISQUEROS-MORROLOBOS"/>
    <x v="5"/>
    <d v="2024-05-18T00:00:00"/>
    <d v="2024-05-13T00:00:00"/>
    <s v="VTQ"/>
    <n v="3"/>
    <n v="2"/>
    <n v="5"/>
    <x v="1"/>
    <s v="MAXISACO 1250 KILOS"/>
    <n v="0"/>
    <n v="100000"/>
    <m/>
  </r>
  <r>
    <n v="7600127"/>
    <s v="(X-PP)(N)(M)(36)(36)//EXPLORADOR AE 2000-VTQ, ASTAXANTINA 10% 80,000 PPM"/>
    <n v="6012446539"/>
    <s v="PROD.VENTISQUEROS-MORROLOBOS"/>
    <x v="5"/>
    <d v="2024-05-11T00:00:00"/>
    <d v="2024-05-06T00:00:00"/>
    <s v="VTQ"/>
    <n v="3"/>
    <n v="2"/>
    <n v="5"/>
    <x v="1"/>
    <s v="MAXISACO 1250 KILOS"/>
    <n v="150000"/>
    <n v="250000"/>
    <m/>
  </r>
  <r>
    <n v="7692557"/>
    <s v="(XI-PP)(N)(M)(34)(41,5)//EXPLORADOR XG 500, ASTAXANTINA 10% 90,000 PPM"/>
    <n v="6012437670"/>
    <s v="AUSTRALIS-HUMOS 5"/>
    <x v="4"/>
    <d v="2024-05-28T00:00:00"/>
    <d v="2024-05-16T00:00:00"/>
    <s v="AUSTRALIS"/>
    <n v="10"/>
    <n v="2"/>
    <n v="12"/>
    <x v="1"/>
    <s v="MAXISACO 1250 KILOS"/>
    <n v="0"/>
    <n v="80000"/>
    <m/>
  </r>
  <r>
    <n v="7692560"/>
    <s v="(XI-PP)(N)(M)(39,5)(37)//EXPLORADOR XG 3000, ASTAXANTINA 10% 90,000 PPM"/>
    <n v="6012437994"/>
    <s v="AUSTRALIS-HUMOS 6"/>
    <x v="5"/>
    <d v="2024-05-20T00:00:00"/>
    <d v="2024-05-08T00:00:00"/>
    <s v="AUSTRALIS"/>
    <n v="10"/>
    <n v="2"/>
    <n v="12"/>
    <x v="1"/>
    <s v="MAXISACO 1250 KILOS"/>
    <n v="80000"/>
    <n v="130000"/>
    <m/>
  </r>
  <r>
    <n v="7692560"/>
    <s v="(XI-PP)(N)(M)(39,5)(37)//EXPLORADOR XG 3000, ASTAXANTINA 10% 90,000 PPM"/>
    <n v="6012438028"/>
    <s v="AUSTRALIS-MELCHOR 4"/>
    <x v="5"/>
    <d v="2024-05-20T00:00:00"/>
    <d v="2024-05-08T00:00:00"/>
    <s v="AUSTRALIS"/>
    <n v="10"/>
    <n v="2"/>
    <n v="12"/>
    <x v="1"/>
    <s v="MAXISACO 1250 KILOS"/>
    <n v="60000"/>
    <n v="120000"/>
    <m/>
  </r>
  <r>
    <n v="7692560"/>
    <s v="(XI-PP)(N)(M)(39,5)(37)//EXPLORADOR XG 3000, ASTAXANTINA 10% 90,000 PPM"/>
    <n v="6012438066"/>
    <s v="AUSTRALIS-HUMOS 6"/>
    <x v="5"/>
    <d v="2024-05-27T00:00:00"/>
    <d v="2024-05-15T00:00:00"/>
    <s v="AUSTRALIS"/>
    <n v="10"/>
    <n v="2"/>
    <n v="12"/>
    <x v="1"/>
    <s v="MAXISACO 1250 KILOS"/>
    <n v="0"/>
    <n v="32500"/>
    <m/>
  </r>
  <r>
    <n v="7692560"/>
    <s v="(XI-PP)(N)(M)(39,5)(37)//EXPLORADOR XG 3000, ASTAXANTINA 10% 90,000 PPM"/>
    <n v="6012438113"/>
    <s v="AUSTRALIS-MELCHOR 4"/>
    <x v="5"/>
    <d v="2024-05-25T00:00:00"/>
    <d v="2024-05-13T00:00:00"/>
    <s v="AUSTRALIS"/>
    <n v="10"/>
    <n v="2"/>
    <n v="12"/>
    <x v="1"/>
    <s v="MAXISACO 1250 KILOS"/>
    <n v="0"/>
    <n v="60000"/>
    <m/>
  </r>
  <r>
    <n v="7692560"/>
    <s v="(XI-TERRESTRE)(N)(M)(39,5)(37)//EXPLORADOR XG 3000, ASTAXANTINA 10% 80,000 PPM"/>
    <n v="6012438064"/>
    <s v="AUSTRALIS-CORDOVA 2"/>
    <x v="5"/>
    <d v="2024-05-12T00:00:00"/>
    <d v="2024-05-08T00:00:00"/>
    <s v="AUSTRALIS"/>
    <n v="2"/>
    <n v="2"/>
    <n v="4"/>
    <x v="1"/>
    <s v="MAXISACO 1250 KILOS"/>
    <n v="100000"/>
    <n v="210000"/>
    <m/>
  </r>
  <r>
    <n v="7600125"/>
    <s v="(X-PP)(N)(M)(30)(39)//EXPLORADOR AE 500-VTQ, ASTAXANTINA 10% 80,000 PPM, L-END 1,000 KGT"/>
    <n v="6012447243"/>
    <s v="PROD.VENTISQUEROS-ICA"/>
    <x v="4"/>
    <d v="2024-05-25T00:00:00"/>
    <d v="2024-05-19T00:00:00"/>
    <s v="VTQ"/>
    <n v="4"/>
    <n v="2"/>
    <n v="6"/>
    <x v="1"/>
    <s v="MAXISACO 1250 KILOS"/>
    <n v="0"/>
    <n v="20000"/>
    <m/>
  </r>
  <r>
    <n v="7600154"/>
    <s v="(X-PP)(N)(M)(39,5)(37)//EXPLORADOR XG 3000 -VTQ, FUTERPENOL 1,000 KGT, ASTAXANTINA 10% 80,000 PPM, COBRO-ADICION ADITIVO (SF) 1,000, KOMBO SHIELD 5,000 L"/>
    <n v="6012447780"/>
    <s v="PROD.VENTISQUEROS-LINGUAR"/>
    <x v="5"/>
    <d v="2024-05-21T00:00:00"/>
    <d v="2024-05-15T00:00:00"/>
    <s v="VTQ"/>
    <n v="4"/>
    <n v="2"/>
    <n v="6"/>
    <x v="1"/>
    <s v="MAXISACO 1250 KILOS"/>
    <n v="0"/>
    <n v="125000"/>
    <m/>
  </r>
  <r>
    <n v="7600154"/>
    <s v="(X-PP)(N)(M)(39,5)(37)//EXPLORADOR XG 3000 -VTQ, ASTAXANTINA 10% 80,000 PPM, KOMBO SHIELD 5,000 L, COBRO-ADICION ADITIVO (SF) 1,000"/>
    <n v="6012447918"/>
    <s v="PROD.VENTISQUEROS-LINGUAR"/>
    <x v="5"/>
    <d v="2024-05-31T00:00:00"/>
    <d v="2024-05-25T00:00:00"/>
    <s v="VTQ"/>
    <n v="4"/>
    <n v="2"/>
    <n v="6"/>
    <x v="1"/>
    <s v="MAXISACO 1250 KILOS"/>
    <n v="0"/>
    <n v="50000"/>
    <m/>
  </r>
  <r>
    <n v="7600154"/>
    <s v="(X-PP)(N)(M)(39,5)(37)//EXPLORADOR XG 3000 -VTQ, ASTAXANTINA 10% 80,000 PPM, L-END 1,000 KGT, PAQ - XTRACT 1,500 KGT"/>
    <n v="6012448022"/>
    <s v="PROD.VENTISQUEROS-PITIHORNO SUR"/>
    <x v="5"/>
    <d v="2024-05-20T00:00:00"/>
    <d v="2024-05-14T00:00:00"/>
    <s v="VTQ"/>
    <n v="4"/>
    <n v="2"/>
    <n v="6"/>
    <x v="1"/>
    <s v="MAXISACO 1250 KILOS"/>
    <n v="0"/>
    <n v="80000"/>
    <m/>
  </r>
  <r>
    <n v="7600154"/>
    <s v="(X-PP)(N)(M)(39,5)(37)//EXPLORADOR XG 3000 -VTQ, ASTAXANTINA 10% 80,000 PPM, L-END 1,000 KGT, PAQ - XTRACT 1,500 KGT"/>
    <n v="6012448025"/>
    <s v="PROD.VENTISQUEROS-PITIHORNO SUR"/>
    <x v="5"/>
    <d v="2024-05-15T00:00:00"/>
    <d v="2024-05-09T00:00:00"/>
    <s v="VTQ"/>
    <n v="4"/>
    <n v="2"/>
    <n v="6"/>
    <x v="1"/>
    <s v="MAXISACO 1250 KILOS"/>
    <n v="70000"/>
    <n v="150000"/>
    <m/>
  </r>
  <r>
    <n v="7600154"/>
    <s v="(X-PP)(N)(M)(39,5)(37)//EXPLORADOR XG 3000 -VTQ, ASTAXANTINA 10% 80,000 PPM, Extra n3 EPA+DHA (USD/+0,5% incl) 4,000 PKT, L-END 1,000 KGT, PAQ - XTRACT 1,500 KGT"/>
    <n v="6012448026"/>
    <s v="PROD.VENTISQUEROS-PITIHORNO SUR"/>
    <x v="5"/>
    <d v="2024-05-20T00:00:00"/>
    <d v="2024-05-14T00:00:00"/>
    <s v="VTQ"/>
    <n v="4"/>
    <n v="2"/>
    <n v="6"/>
    <x v="1"/>
    <s v="MAXISACO 1250 KILOS"/>
    <n v="0"/>
    <n v="80000"/>
    <m/>
  </r>
  <r>
    <n v="7600154"/>
    <s v="(X-PP)(N)(M)(39,5)(37)//EXPLORADOR XG 3000 -VTQ, ASTAXANTINA 10% 80,000 PPM, Extra n3 EPA+DHA (USD/+0,5% incl) 4,000 PKT, L-END 1,000 KGT, PAQ - XTRACT 1,500 KGT"/>
    <n v="6012448028"/>
    <s v="PROD.VENTISQUEROS-PITIHORNO SUR"/>
    <x v="5"/>
    <d v="2024-05-15T00:00:00"/>
    <d v="2024-05-09T00:00:00"/>
    <s v="VTQ"/>
    <n v="4"/>
    <n v="2"/>
    <n v="6"/>
    <x v="1"/>
    <s v="MAXISACO 1250 KILOS"/>
    <n v="60000"/>
    <n v="140000"/>
    <m/>
  </r>
  <r>
    <n v="7692588"/>
    <s v="(XI-PP)(N)(M)(38,5)(37,5)//EXPLORADOR XG 2009, ASTAXANTINA 10% 90,000 PPM"/>
    <n v="6012437883"/>
    <s v="AUSTRALIS-HUMOS 6"/>
    <x v="0"/>
    <d v="2024-05-27T00:00:00"/>
    <d v="2024-05-15T00:00:00"/>
    <s v="AUSTRALIS"/>
    <n v="10"/>
    <n v="2"/>
    <n v="12"/>
    <x v="1"/>
    <s v="MAXISACO 1250 KILOS"/>
    <n v="0"/>
    <n v="13750"/>
    <m/>
  </r>
  <r>
    <n v="7692793"/>
    <s v="(XI-TERRESTRE)(N)(M)(36)(38)//EXPLORADOR XG 1000 - MULTIX, ASTAXANTINA 10% 60,000 PPM"/>
    <n v="6012446344"/>
    <s v="MULTIEXPORT-IZAZA"/>
    <x v="0"/>
    <d v="2024-05-13T00:00:00"/>
    <d v="2024-05-09T00:00:00"/>
    <s v="MEF"/>
    <n v="2"/>
    <n v="2"/>
    <n v="4"/>
    <x v="1"/>
    <s v="MAXISACO 1250 KILOS"/>
    <n v="82500"/>
    <n v="165000"/>
    <m/>
  </r>
  <r>
    <n v="7692793"/>
    <s v="(XI-TERRESTRE)(N)(M)(36)(38)//EXPLORADOR XG 1000 - MULTIX, ASTAXANTINA 10% 60,000 PPM"/>
    <n v="6012448266"/>
    <s v="MULTIEXPORT-IZAZA"/>
    <x v="0"/>
    <d v="2024-05-18T00:00:00"/>
    <d v="2024-05-14T00:00:00"/>
    <s v="MEF"/>
    <n v="2"/>
    <n v="2"/>
    <n v="4"/>
    <x v="1"/>
    <s v="MAXISACO 1250 KILOS"/>
    <n v="0"/>
    <n v="165000"/>
    <m/>
  </r>
  <r>
    <n v="7692795"/>
    <s v="(X-SPOT)(N)(M)(37)(38)//EXPLORADOR XG 4000 (9) - MULTIX, ASTAXANTINA 10% 60,000 PPM"/>
    <n v="6012448269"/>
    <s v="MULTIEXPORT-LLAGUEPE"/>
    <x v="0"/>
    <d v="2024-05-13T00:00:00"/>
    <d v="2024-05-09T00:00:00"/>
    <s v="MEF"/>
    <n v="2"/>
    <n v="2"/>
    <n v="4"/>
    <x v="1"/>
    <s v="MAXISACO 1250 KILOS"/>
    <n v="55000"/>
    <n v="137500"/>
    <m/>
  </r>
  <r>
    <n v="7692795"/>
    <s v="(X-SPOT)(N)(M)(37)(38)//EXPLORADOR XG 4000 (9) - MULTIX, ASTAXANTINA 10% 60,000 PPM"/>
    <n v="6012448270"/>
    <s v="MULTIEXPORT-LLAGUEPE"/>
    <x v="0"/>
    <d v="2024-05-17T00:00:00"/>
    <d v="2024-05-13T00:00:00"/>
    <s v="MEF"/>
    <n v="2"/>
    <n v="2"/>
    <n v="4"/>
    <x v="1"/>
    <s v="MAXISACO 1250 KILOS"/>
    <n v="0"/>
    <n v="137500"/>
    <m/>
  </r>
  <r>
    <n v="7692795"/>
    <s v="(XI-SPOT)(N)(M)(37)(38)//EXPLORADOR XG 4000 (9) - MULTIX, ASTAXANTINA 10% 60,000 PPM, BUTIMIX 1,000 KGT"/>
    <n v="6012448265"/>
    <s v="MULTIEXPORT-CHAPARANO"/>
    <x v="0"/>
    <d v="2024-05-15T00:00:00"/>
    <d v="2024-05-11T00:00:00"/>
    <s v="MEF"/>
    <n v="2"/>
    <n v="2"/>
    <n v="4"/>
    <x v="1"/>
    <s v="MAXISACO 1250 KILOS"/>
    <n v="55000"/>
    <n v="165000"/>
    <m/>
  </r>
  <r>
    <n v="7692924"/>
    <s v="(-)(N)(M)(38)(37,5)//SFM XG 2000 - MW, ASTAXANTINA 10% 70,000 PPM, BLOCK RECOVER 1,000 PKT, VETERIN 80% Florfenicol - Centrovet 3,500 KGT, CAREBLOCK OXYCARE 1,000 PKT"/>
    <n v="6012442762"/>
    <s v="MOWI CHILE-PALQUI"/>
    <x v="5"/>
    <d v="2024-05-04T00:00:00"/>
    <d v="2024-04-29T00:00:00"/>
    <s v="MOWI"/>
    <n v="3"/>
    <n v="2"/>
    <n v="5"/>
    <x v="0"/>
    <s v="MAXISACO 1250 KILOS"/>
    <n v="23750"/>
    <n v="23750"/>
    <m/>
  </r>
  <r>
    <n v="7692924"/>
    <s v="(-)(N)(M)(38)(37,5)//SFM XG 2000 - MW, ASTAXANTINA 10% 70,000 PPM, BLOCK RECOVER 1,000 PKT, FLORFENICOL 50% (FAV CHILE) 6,000 KGT"/>
    <n v="6012444699"/>
    <s v="MOWI CHILE-PALQUI"/>
    <x v="5"/>
    <d v="2024-05-04T00:00:00"/>
    <d v="2024-04-29T00:00:00"/>
    <s v="MOWI"/>
    <n v="3"/>
    <n v="2"/>
    <n v="5"/>
    <x v="0"/>
    <s v="MAXISACO 1250 KILOS"/>
    <n v="16250"/>
    <n v="16250"/>
    <m/>
  </r>
  <r>
    <n v="7622071"/>
    <s v="(-)(N)(M)(39,5)(36,5)//EXPLORADOR XG 3000, ASTAXANTINA 10% 70,000 PPM, BLOCK RECOVER 1,000 PKT"/>
    <n v="6012446594"/>
    <s v="MOWI CHILE-PALQUI"/>
    <x v="5"/>
    <d v="2024-05-16T00:00:00"/>
    <d v="2024-05-11T00:00:00"/>
    <s v="MOWI"/>
    <n v="3"/>
    <n v="2"/>
    <n v="5"/>
    <x v="1"/>
    <s v="MAXISACO 1250 KILOS"/>
    <n v="28750"/>
    <n v="28750"/>
    <m/>
  </r>
  <r>
    <n v="7692734"/>
    <s v="(X-PP)(N)(M)(28)(45)//TRANSFER AE 250, ASTAXANTINA 10% 80,000 PPM, L-END 1,000 KGT"/>
    <n v="6012447396"/>
    <s v="PROD.VENTISQUEROS-ICA"/>
    <x v="1"/>
    <d v="2024-05-25T00:00:00"/>
    <d v="2024-05-19T00:00:00"/>
    <s v="VTQ"/>
    <n v="4"/>
    <n v="2"/>
    <n v="6"/>
    <x v="1"/>
    <s v="MAXISACO 1250 KILOS"/>
    <n v="0"/>
    <n v="10000"/>
    <m/>
  </r>
  <r>
    <n v="7600151"/>
    <s v="(-)(N)(M)(34)(41,5)//EXPLORADOR XG 500 -VTQ, ASTAXANTINA 10% 80,000 PPM"/>
    <n v="6012447976"/>
    <s v="PROD.VENTISQ-NORTE ISLA FRANCISCO"/>
    <x v="4"/>
    <d v="2024-05-20T00:00:00"/>
    <d v="2024-05-08T00:00:00"/>
    <s v="VTQ"/>
    <n v="10"/>
    <n v="2"/>
    <n v="12"/>
    <x v="1"/>
    <s v="MAXISACO 1250 KILOS"/>
    <n v="76250"/>
    <n v="76250"/>
    <m/>
  </r>
  <r>
    <n v="7600152"/>
    <s v="(-)(N)(M)(36)(39)//EXPLORADOR XG 1000-VTQ, ASTAXANTINA 10% 80,000 PPM"/>
    <n v="6012447977"/>
    <s v="PROD.VENTISQ-NORTE ISLA FRANCISCO"/>
    <x v="0"/>
    <d v="2024-05-20T00:00:00"/>
    <d v="2024-05-08T00:00:00"/>
    <s v="VTQ"/>
    <n v="10"/>
    <n v="2"/>
    <n v="12"/>
    <x v="1"/>
    <s v="MAXISACO 1250 KILOS"/>
    <n v="30000"/>
    <n v="30000"/>
    <m/>
  </r>
  <r>
    <n v="7692588"/>
    <s v="(XI-PP)(N)(M)(38,5)(37,5)//EXPLORADOR XG 2009, ASTAXANTINA 10% 90,000 PPM"/>
    <n v="6012452095"/>
    <s v="AUSTRALIS-HUMOS 3"/>
    <x v="0"/>
    <d v="2024-05-17T00:00:00"/>
    <d v="2024-05-05T00:00:00"/>
    <s v="AUSTRALIS"/>
    <n v="10"/>
    <n v="2"/>
    <n v="12"/>
    <x v="1"/>
    <s v="MAXISACO 1250 KILOS"/>
    <n v="40000"/>
    <n v="80000"/>
    <m/>
  </r>
  <r>
    <n v="7692798"/>
    <s v="(-)(N)(M)(34,5)(35,5)//SFM AE 2500 (9) - MULTIX, ASTAXANTINA 10% 60,000 PPM, ATEFLOR 50% (FLORFENICOL) 5,000 KGT"/>
    <n v="6012457022"/>
    <s v="MULTI X S.A."/>
    <x v="0"/>
    <d v="2024-05-04T00:00:00"/>
    <d v="2024-05-02T00:00:00"/>
    <s v="MEF"/>
    <m/>
    <n v="2"/>
    <n v="2"/>
    <x v="0"/>
    <s v="MAXISACO 1250 KILOS"/>
    <n v="150000"/>
    <n v="150000"/>
    <m/>
  </r>
  <r>
    <n v="7692923"/>
    <s v="(X-TERRESTRE)(N)(M)(35)(39)//SFM XG 1000 - MW, ASTAXANTINA 10% 70,000 PPM, VETERIN 80% Florfenicol - Centrovet 2,500 KGT"/>
    <n v="6012453908"/>
    <s v="MOWI CHILE S.A."/>
    <x v="0"/>
    <d v="2024-04-30T00:00:00"/>
    <d v="2024-04-28T00:00:00"/>
    <s v="MOWI"/>
    <m/>
    <n v="2"/>
    <n v="2"/>
    <x v="0"/>
    <s v="MAXISACO 1250 KILOS"/>
    <n v="115000"/>
    <n v="115000"/>
    <m/>
  </r>
  <r>
    <n v="7692913"/>
    <s v="(-)(N)(M)(33)(42)//EXPLORADOR XG 300 - MW, ASTAXANTINA 10% 80,000 PPM"/>
    <n v="6012458414"/>
    <s v="MOWI CHILE-PUNTA APIAO"/>
    <x v="4"/>
    <d v="2024-05-13T00:00:00"/>
    <d v="2024-05-08T00:00:00"/>
    <s v="MOWI"/>
    <n v="3"/>
    <n v="2"/>
    <n v="5"/>
    <x v="1"/>
    <s v="MAXISACO 1250 KILOS"/>
    <n v="70000"/>
    <n v="175000"/>
    <m/>
  </r>
  <r>
    <n v="7692912"/>
    <s v="(-)(N)(B)(0)(0)//TRANSFER SALAR XG100- MW, ASTAXANTINA 10% 80,000 PPM"/>
    <n v="6012462445"/>
    <s v="MOWI CHILE-BAJO LA BARRA"/>
    <x v="0"/>
    <d v="2024-05-10T00:00:00"/>
    <d v="2024-05-05T00:00:00"/>
    <s v="MOWI"/>
    <n v="3"/>
    <n v="2"/>
    <n v="5"/>
    <x v="1"/>
    <s v="BOLSA 25 KILOS"/>
    <n v="30000"/>
    <n v="65000"/>
    <m/>
  </r>
  <r>
    <n v="7692912"/>
    <s v="(-)(N)(M)(0)(0)//TRANSFER SALAR XG100- MW, ASTAXANTINA 10% 80,000 PPM"/>
    <n v="6012462861"/>
    <s v="MOWI CHILE-BAJO LA BARRA"/>
    <x v="0"/>
    <d v="2024-05-10T00:00:00"/>
    <d v="2024-05-05T00:00:00"/>
    <s v="MOWI"/>
    <n v="3"/>
    <n v="2"/>
    <n v="5"/>
    <x v="1"/>
    <s v="MAXISACO 1250 KILOS"/>
    <n v="30000"/>
    <n v="60000"/>
    <m/>
  </r>
  <r>
    <n v="7692862"/>
    <s v="(-)(N)(M)(38)(37,5)//SFM XG 2009 - CQ, ASTAXANTINA 10% 80,000 PPM, FLORFENICOL 50% (STIM CHILE S.A) 6,000 KGT"/>
    <n v="6012458260"/>
    <s v="CERMAQ CHILE S.A."/>
    <x v="0"/>
    <d v="2024-05-09T00:00:00"/>
    <d v="2024-05-07T00:00:00"/>
    <s v="CMQ"/>
    <m/>
    <n v="2"/>
    <n v="2"/>
    <x v="0"/>
    <s v="MAXISACO 1250 KILOS"/>
    <n v="100000"/>
    <n v="100000"/>
    <m/>
  </r>
  <r>
    <n v="7692733"/>
    <s v="(X-PP)(N)(B)(26)(46)//TRANSFER AE 100 - VTQ, ASTAXANTINA 10% 80,000 PPM, L-END 1,000 KGT"/>
    <n v="6012463423"/>
    <s v="PROD.VENTISQUEROS-ICA"/>
    <x v="3"/>
    <d v="2024-05-15T00:00:00"/>
    <d v="2024-05-09T00:00:00"/>
    <s v="VTQ"/>
    <n v="4"/>
    <n v="2"/>
    <n v="6"/>
    <x v="1"/>
    <s v="BOLSA 25 KILOS"/>
    <n v="10000"/>
    <n v="10000"/>
    <m/>
  </r>
  <r>
    <n v="7692923"/>
    <s v="(-)(N)(M)(35)(39)//SFM XG 1000 - MW, ASTAXANTINA 10% 80,000 PPM, VETERIN 80% Florfenicol - Centrovet 3,500 KGT"/>
    <n v="6012461642"/>
    <s v="MOWI CHILE-OESTE BAJO MEULIN"/>
    <x v="0"/>
    <d v="2024-05-06T00:00:00"/>
    <d v="2024-05-01T00:00:00"/>
    <s v="MOWI"/>
    <n v="3"/>
    <n v="2"/>
    <n v="5"/>
    <x v="0"/>
    <s v="MAXISACO 1250 KILOS"/>
    <n v="158750"/>
    <n v="158750"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  <r>
    <m/>
    <m/>
    <m/>
    <m/>
    <x v="6"/>
    <m/>
    <m/>
    <m/>
    <m/>
    <m/>
    <m/>
    <x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6706DD-48D0-420B-B860-03963B3DCAF4}" name="TablaDinámica22" cacheId="1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0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4"/>
        <item x="0"/>
        <item x="1"/>
        <item x="2"/>
        <item x="3"/>
        <item x="5"/>
        <item h="1"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3" showAl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CANTIDAD SELECCIONADA" fld="13" baseField="7" baseItem="0"/>
  </dataFields>
  <formats count="4">
    <format dxfId="44">
      <pivotArea dataOnly="0" labelOnly="1" outline="0" axis="axisValues" fieldPosition="0"/>
    </format>
    <format dxfId="43">
      <pivotArea outline="0" collapsedLevelsAreSubtotals="1" fieldPosition="0"/>
    </format>
    <format dxfId="42">
      <pivotArea dataOnly="0" labelOnly="1" outline="0" axis="axisValues" fieldPosition="0"/>
    </format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0934A-0F18-4DC9-A15B-F447BBA46FE0}" name="TablaDinámica2" cacheId="209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compact="0" compactData="0" gridDropZones="1" multipleFieldFilters="0">
  <location ref="A19:B23" firstHeaderRow="2" firstDataRow="2" firstDataCol="1"/>
  <pivotFields count="16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1"/>
        <item x="0"/>
        <item h="1" x="2"/>
        <item t="default"/>
      </items>
    </pivotField>
    <pivotField compact="0" outline="0" showAll="0"/>
    <pivotField dataField="1" compact="0" numFmtId="3" outline="0" showAll="0"/>
    <pivotField compact="0" numFmtId="3" outline="0" showAll="0"/>
    <pivotField compact="0" outline="0" showAll="0"/>
  </pivotFields>
  <rowFields count="1">
    <field x="11"/>
  </rowFields>
  <rowItems count="3">
    <i>
      <x/>
    </i>
    <i>
      <x v="1"/>
    </i>
    <i t="grand">
      <x/>
    </i>
  </rowItems>
  <colItems count="1">
    <i/>
  </colItems>
  <dataFields count="1">
    <dataField name="Suma de CANTIDAD SELECCIONADA" fld="13" baseField="0" baseItem="0"/>
  </dataFields>
  <formats count="3"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5414EB-94CD-4F71-B472-86E1BF604AF8}" name="TablaDinámica3" cacheId="209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compact="0" compactData="0" gridDropZones="1" multipleFieldFilters="0">
  <location ref="A31:B39" firstHeaderRow="2" firstDataRow="2" firstDataCol="1"/>
  <pivotFields count="16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8">
        <item x="0"/>
        <item x="5"/>
        <item x="1"/>
        <item x="4"/>
        <item x="3"/>
        <item x="2"/>
        <item h="1" x="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3" outline="0" showAll="0"/>
    <pivotField compact="0" numFmtId="3" outline="0" showAll="0"/>
    <pivotField compact="0" outline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CANTIDAD SELECCIONADA" fld="13" baseField="0" baseItem="0"/>
  </dataFields>
  <formats count="6">
    <format dxfId="53">
      <pivotArea outline="0" collapsedLevelsAreSubtotals="1" fieldPosition="0"/>
    </format>
    <format dxfId="52">
      <pivotArea field="4" type="button" dataOnly="0" labelOnly="1" outline="0" axis="axisRow" fieldPosition="0"/>
    </format>
    <format dxfId="51">
      <pivotArea dataOnly="0" labelOnly="1" outline="0" fieldPosition="0">
        <references count="1">
          <reference field="4" count="0"/>
        </references>
      </pivotArea>
    </format>
    <format dxfId="50">
      <pivotArea dataOnly="0" labelOnly="1" grandRow="1" outline="0" fieldPosition="0"/>
    </format>
    <format dxfId="49">
      <pivotArea outline="0" collapsedLevelsAreSubtotals="1" fieldPosition="0"/>
    </format>
    <format dxfId="48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B9CDF-67E7-4E7B-B01D-B027DA7EE728}">
  <sheetPr codeName="Hoja1"/>
  <dimension ref="A1:BD77"/>
  <sheetViews>
    <sheetView topLeftCell="M1" zoomScale="60" zoomScaleNormal="60" workbookViewId="0">
      <selection activeCell="N2" sqref="N2"/>
    </sheetView>
  </sheetViews>
  <sheetFormatPr baseColWidth="10" defaultColWidth="11.42578125" defaultRowHeight="15" x14ac:dyDescent="0.25"/>
  <cols>
    <col min="1" max="1" width="12.42578125" style="2" customWidth="1"/>
    <col min="2" max="2" width="56.140625" customWidth="1"/>
    <col min="3" max="3" width="15.42578125" style="2" customWidth="1"/>
    <col min="4" max="4" width="41.85546875" bestFit="1" customWidth="1"/>
    <col min="5" max="6" width="16.140625" customWidth="1"/>
    <col min="7" max="7" width="21.5703125" customWidth="1"/>
    <col min="8" max="8" width="17.5703125" customWidth="1"/>
    <col min="9" max="11" width="20.5703125" customWidth="1"/>
    <col min="12" max="12" width="26.5703125" customWidth="1"/>
    <col min="13" max="13" width="17.85546875" customWidth="1"/>
    <col min="14" max="14" width="19.7109375" customWidth="1"/>
    <col min="15" max="15" width="19.5703125" customWidth="1"/>
    <col min="16" max="16" width="18.42578125" style="2" customWidth="1"/>
    <col min="17" max="56" width="15.42578125" style="2" customWidth="1"/>
    <col min="57" max="16384" width="11.42578125" style="2"/>
  </cols>
  <sheetData>
    <row r="1" spans="1:56" ht="26.25" x14ac:dyDescent="0.4">
      <c r="P1" s="17" t="s">
        <v>54</v>
      </c>
    </row>
    <row r="2" spans="1:56" ht="15.75" thickBot="1" x14ac:dyDescent="0.3">
      <c r="N2" s="3">
        <f>SUM(N4:N60)</f>
        <v>2835250</v>
      </c>
      <c r="O2" s="3">
        <f t="shared" ref="N2:BD2" si="0">SUM(O4:O60)</f>
        <v>5994000</v>
      </c>
      <c r="P2" s="3">
        <f t="shared" si="0"/>
        <v>75000</v>
      </c>
      <c r="Q2" s="3">
        <f t="shared" si="0"/>
        <v>75000</v>
      </c>
      <c r="R2" s="3">
        <f t="shared" si="0"/>
        <v>624000</v>
      </c>
      <c r="S2" s="3">
        <f t="shared" si="0"/>
        <v>0</v>
      </c>
      <c r="T2" s="3">
        <f t="shared" si="0"/>
        <v>0</v>
      </c>
      <c r="U2" s="3">
        <f t="shared" si="0"/>
        <v>0</v>
      </c>
      <c r="V2" s="3">
        <f t="shared" si="0"/>
        <v>0</v>
      </c>
      <c r="W2" s="3">
        <f t="shared" si="0"/>
        <v>40000</v>
      </c>
      <c r="X2" s="3">
        <f t="shared" si="0"/>
        <v>115000</v>
      </c>
      <c r="Y2" s="3">
        <f>SUM(Y4:Y60)</f>
        <v>80000</v>
      </c>
      <c r="Z2" s="3">
        <f>SUM(Z4:Z60)</f>
        <v>0</v>
      </c>
      <c r="AA2" s="3">
        <f>SUM(AA4:AA60)</f>
        <v>0</v>
      </c>
      <c r="AB2" s="3">
        <f>SUM(AB4:AB60)</f>
        <v>228750</v>
      </c>
      <c r="AC2" s="3">
        <f t="shared" si="0"/>
        <v>70000</v>
      </c>
      <c r="AD2" s="3">
        <f t="shared" si="0"/>
        <v>150000</v>
      </c>
      <c r="AE2" s="3">
        <f t="shared" si="0"/>
        <v>82500</v>
      </c>
      <c r="AF2" s="3">
        <f t="shared" si="0"/>
        <v>416250</v>
      </c>
      <c r="AG2" s="3">
        <f t="shared" si="0"/>
        <v>532500</v>
      </c>
      <c r="AH2" s="3">
        <f t="shared" si="0"/>
        <v>30000</v>
      </c>
      <c r="AI2" s="3">
        <f t="shared" si="0"/>
        <v>316250</v>
      </c>
      <c r="AJ2" s="3">
        <f t="shared" si="0"/>
        <v>0</v>
      </c>
      <c r="AK2" s="3">
        <f t="shared" si="0"/>
        <v>310000</v>
      </c>
      <c r="AL2" s="3">
        <f t="shared" si="0"/>
        <v>347500</v>
      </c>
      <c r="AM2" s="3">
        <f t="shared" si="0"/>
        <v>356250</v>
      </c>
      <c r="AN2" s="3">
        <f t="shared" si="0"/>
        <v>262500</v>
      </c>
      <c r="AO2" s="3">
        <f t="shared" si="0"/>
        <v>275000</v>
      </c>
      <c r="AP2" s="3">
        <f t="shared" si="0"/>
        <v>142500</v>
      </c>
      <c r="AQ2" s="3">
        <f t="shared" si="0"/>
        <v>330000</v>
      </c>
      <c r="AR2" s="3">
        <f t="shared" si="0"/>
        <v>160000</v>
      </c>
      <c r="AS2" s="3">
        <f t="shared" si="0"/>
        <v>435000</v>
      </c>
      <c r="AT2" s="3">
        <f t="shared" si="0"/>
        <v>35000</v>
      </c>
      <c r="AU2" s="3">
        <f t="shared" si="0"/>
        <v>135000</v>
      </c>
      <c r="AV2" s="3">
        <f t="shared" si="0"/>
        <v>0</v>
      </c>
      <c r="AW2" s="3">
        <f t="shared" si="0"/>
        <v>270000</v>
      </c>
      <c r="AX2" s="3">
        <f t="shared" si="0"/>
        <v>0</v>
      </c>
      <c r="AY2" s="3">
        <f t="shared" si="0"/>
        <v>100000</v>
      </c>
      <c r="AZ2" s="3">
        <f t="shared" si="0"/>
        <v>0</v>
      </c>
      <c r="BA2" s="3">
        <f t="shared" si="0"/>
        <v>0</v>
      </c>
      <c r="BB2" s="3">
        <f t="shared" si="0"/>
        <v>0</v>
      </c>
      <c r="BC2" s="3">
        <f t="shared" si="0"/>
        <v>0</v>
      </c>
      <c r="BD2" s="3">
        <f t="shared" si="0"/>
        <v>0</v>
      </c>
    </row>
    <row r="3" spans="1:56" ht="42" customHeight="1" x14ac:dyDescent="0.25">
      <c r="A3" s="9" t="s">
        <v>0</v>
      </c>
      <c r="B3" s="9" t="s">
        <v>1</v>
      </c>
      <c r="C3" s="9" t="s">
        <v>2</v>
      </c>
      <c r="D3" s="10" t="s">
        <v>56</v>
      </c>
      <c r="E3" s="9" t="s">
        <v>3</v>
      </c>
      <c r="F3" s="8" t="s">
        <v>95</v>
      </c>
      <c r="G3" s="8" t="s">
        <v>101</v>
      </c>
      <c r="H3" s="10" t="s">
        <v>57</v>
      </c>
      <c r="I3" s="8" t="s">
        <v>15</v>
      </c>
      <c r="J3" s="8" t="s">
        <v>52</v>
      </c>
      <c r="K3" s="8" t="s">
        <v>53</v>
      </c>
      <c r="L3" s="9" t="s">
        <v>14</v>
      </c>
      <c r="M3" s="9" t="s">
        <v>4</v>
      </c>
      <c r="N3" s="8" t="s">
        <v>79</v>
      </c>
      <c r="O3" s="11" t="s">
        <v>51</v>
      </c>
      <c r="P3" s="31">
        <v>45404</v>
      </c>
      <c r="Q3" s="32">
        <v>45405</v>
      </c>
      <c r="R3" s="32">
        <v>45406</v>
      </c>
      <c r="S3" s="32">
        <v>45407</v>
      </c>
      <c r="T3" s="32">
        <v>45408</v>
      </c>
      <c r="U3" s="32">
        <v>45409</v>
      </c>
      <c r="V3" s="33">
        <v>45410</v>
      </c>
      <c r="W3" s="31">
        <v>45411</v>
      </c>
      <c r="X3" s="32">
        <v>45412</v>
      </c>
      <c r="Y3" s="32">
        <v>45413</v>
      </c>
      <c r="Z3" s="32">
        <v>45414</v>
      </c>
      <c r="AA3" s="32">
        <v>45415</v>
      </c>
      <c r="AB3" s="32">
        <v>45416</v>
      </c>
      <c r="AC3" s="33">
        <v>45417</v>
      </c>
      <c r="AD3" s="31">
        <v>45418</v>
      </c>
      <c r="AE3" s="32">
        <v>45419</v>
      </c>
      <c r="AF3" s="32">
        <v>45420</v>
      </c>
      <c r="AG3" s="32">
        <v>45421</v>
      </c>
      <c r="AH3" s="32">
        <v>45422</v>
      </c>
      <c r="AI3" s="32">
        <v>45423</v>
      </c>
      <c r="AJ3" s="33">
        <v>45424</v>
      </c>
      <c r="AK3" s="31">
        <v>45425</v>
      </c>
      <c r="AL3" s="32">
        <v>45426</v>
      </c>
      <c r="AM3" s="32">
        <v>45427</v>
      </c>
      <c r="AN3" s="32">
        <v>45428</v>
      </c>
      <c r="AO3" s="32">
        <v>45429</v>
      </c>
      <c r="AP3" s="32">
        <v>45430</v>
      </c>
      <c r="AQ3" s="33">
        <v>45431</v>
      </c>
      <c r="AR3" s="31">
        <v>45432</v>
      </c>
      <c r="AS3" s="32">
        <v>45433</v>
      </c>
      <c r="AT3" s="32">
        <v>45434</v>
      </c>
      <c r="AU3" s="32">
        <v>45435</v>
      </c>
      <c r="AV3" s="32">
        <v>45436</v>
      </c>
      <c r="AW3" s="32">
        <v>45437</v>
      </c>
      <c r="AX3" s="33">
        <v>45438</v>
      </c>
      <c r="AY3" s="31">
        <v>45439</v>
      </c>
      <c r="AZ3" s="32">
        <v>45440</v>
      </c>
      <c r="BA3" s="32">
        <v>45441</v>
      </c>
      <c r="BB3" s="32">
        <v>45442</v>
      </c>
      <c r="BC3" s="32">
        <v>45443</v>
      </c>
      <c r="BD3" s="33">
        <v>45444</v>
      </c>
    </row>
    <row r="4" spans="1:56" x14ac:dyDescent="0.25">
      <c r="A4" s="2">
        <v>7692862</v>
      </c>
      <c r="B4" t="s">
        <v>41</v>
      </c>
      <c r="C4" s="2">
        <v>6012421714</v>
      </c>
      <c r="D4" s="5" t="s">
        <v>42</v>
      </c>
      <c r="E4" s="2">
        <v>9</v>
      </c>
      <c r="F4" s="30">
        <v>45405</v>
      </c>
      <c r="G4" s="30">
        <f>F4-K4</f>
        <v>45403</v>
      </c>
      <c r="H4" s="5" t="s">
        <v>99</v>
      </c>
      <c r="I4" s="16"/>
      <c r="J4" s="2">
        <v>2</v>
      </c>
      <c r="K4" s="2">
        <f>I4+J4</f>
        <v>2</v>
      </c>
      <c r="L4" s="2" t="s">
        <v>21</v>
      </c>
      <c r="M4" s="5" t="s">
        <v>6</v>
      </c>
      <c r="N4" s="3">
        <f>SUM(P4:AJ4)</f>
        <v>75000</v>
      </c>
      <c r="O4" s="3">
        <f t="shared" ref="O4:O60" si="1">SUM(P4:BD4)</f>
        <v>75000</v>
      </c>
      <c r="P4" s="24"/>
      <c r="Q4" s="38">
        <v>75000</v>
      </c>
      <c r="R4" s="38"/>
      <c r="S4" s="38"/>
      <c r="T4" s="38"/>
      <c r="U4" s="38"/>
      <c r="V4" s="26"/>
      <c r="W4" s="24"/>
      <c r="X4" s="38"/>
      <c r="Y4" s="38"/>
      <c r="Z4" s="38"/>
      <c r="AA4" s="38"/>
      <c r="AB4" s="38"/>
      <c r="AC4" s="26"/>
      <c r="AD4" s="24"/>
      <c r="AE4" s="38"/>
      <c r="AF4" s="38"/>
      <c r="AG4" s="38"/>
      <c r="AH4" s="38"/>
      <c r="AI4" s="38"/>
      <c r="AJ4" s="26"/>
      <c r="AK4" s="19"/>
      <c r="AL4" s="34"/>
      <c r="AM4" s="34"/>
      <c r="AN4" s="34"/>
      <c r="AO4" s="34"/>
      <c r="AP4" s="34"/>
      <c r="AQ4" s="20"/>
      <c r="AR4" s="19"/>
      <c r="AS4" s="34"/>
      <c r="AT4" s="34"/>
      <c r="AU4" s="34"/>
      <c r="AV4" s="34"/>
      <c r="AW4" s="34"/>
      <c r="AX4" s="20"/>
      <c r="AY4" s="19"/>
      <c r="AZ4" s="34"/>
      <c r="BA4" s="34"/>
      <c r="BB4" s="34"/>
      <c r="BC4" s="34"/>
      <c r="BD4" s="20"/>
    </row>
    <row r="5" spans="1:56" x14ac:dyDescent="0.25">
      <c r="A5" s="2">
        <v>7692862</v>
      </c>
      <c r="B5" t="s">
        <v>41</v>
      </c>
      <c r="C5" s="2">
        <v>6012427839</v>
      </c>
      <c r="D5" t="s">
        <v>42</v>
      </c>
      <c r="E5" s="2">
        <v>9</v>
      </c>
      <c r="F5" s="30">
        <v>45404</v>
      </c>
      <c r="G5" s="30">
        <f>F5-K5</f>
        <v>45402</v>
      </c>
      <c r="H5" s="5" t="s">
        <v>99</v>
      </c>
      <c r="I5" s="16"/>
      <c r="J5" s="2">
        <v>2</v>
      </c>
      <c r="K5" s="2">
        <f t="shared" ref="K5:K60" si="2">I5+J5</f>
        <v>2</v>
      </c>
      <c r="L5" s="2" t="s">
        <v>21</v>
      </c>
      <c r="M5" s="5" t="s">
        <v>6</v>
      </c>
      <c r="N5" s="3">
        <f t="shared" ref="N5:N60" si="3">SUM(P5:AJ5)</f>
        <v>75000</v>
      </c>
      <c r="O5" s="3">
        <f t="shared" si="1"/>
        <v>75000</v>
      </c>
      <c r="P5" s="24">
        <v>75000</v>
      </c>
      <c r="Q5" s="38"/>
      <c r="R5" s="38"/>
      <c r="S5" s="38"/>
      <c r="T5" s="38"/>
      <c r="U5" s="38"/>
      <c r="V5" s="26"/>
      <c r="W5" s="24"/>
      <c r="X5" s="38"/>
      <c r="Y5" s="38"/>
      <c r="Z5" s="38"/>
      <c r="AA5" s="38"/>
      <c r="AB5" s="38"/>
      <c r="AC5" s="26"/>
      <c r="AD5" s="24"/>
      <c r="AE5" s="38"/>
      <c r="AF5" s="38"/>
      <c r="AG5" s="38"/>
      <c r="AH5" s="38"/>
      <c r="AI5" s="38"/>
      <c r="AJ5" s="26"/>
      <c r="AK5" s="19"/>
      <c r="AL5" s="34"/>
      <c r="AM5" s="34"/>
      <c r="AN5" s="34"/>
      <c r="AO5" s="34"/>
      <c r="AP5" s="34"/>
      <c r="AQ5" s="20"/>
      <c r="AR5" s="19"/>
      <c r="AS5" s="34"/>
      <c r="AT5" s="34"/>
      <c r="AU5" s="34"/>
      <c r="AV5" s="34"/>
      <c r="AW5" s="34"/>
      <c r="AX5" s="20"/>
      <c r="AY5" s="19"/>
      <c r="AZ5" s="34"/>
      <c r="BA5" s="34"/>
      <c r="BB5" s="34"/>
      <c r="BC5" s="34"/>
      <c r="BD5" s="20"/>
    </row>
    <row r="6" spans="1:56" x14ac:dyDescent="0.25">
      <c r="A6" s="2">
        <v>7692883</v>
      </c>
      <c r="B6" t="s">
        <v>43</v>
      </c>
      <c r="C6" s="2">
        <v>6012432903</v>
      </c>
      <c r="D6" t="s">
        <v>44</v>
      </c>
      <c r="E6" s="2">
        <v>4</v>
      </c>
      <c r="F6" s="30">
        <v>45406</v>
      </c>
      <c r="G6" s="30">
        <f>F6-K6</f>
        <v>45404</v>
      </c>
      <c r="H6" t="s">
        <v>100</v>
      </c>
      <c r="I6" s="16"/>
      <c r="J6" s="2">
        <v>2</v>
      </c>
      <c r="K6" s="2">
        <f t="shared" si="2"/>
        <v>2</v>
      </c>
      <c r="L6" s="2" t="s">
        <v>5</v>
      </c>
      <c r="M6" s="5" t="s">
        <v>36</v>
      </c>
      <c r="N6" s="3">
        <f t="shared" si="3"/>
        <v>104000</v>
      </c>
      <c r="O6" s="3">
        <f t="shared" si="1"/>
        <v>104000</v>
      </c>
      <c r="P6" s="24"/>
      <c r="Q6" s="38"/>
      <c r="R6" s="38">
        <v>104000</v>
      </c>
      <c r="S6" s="38"/>
      <c r="T6" s="38"/>
      <c r="U6" s="38"/>
      <c r="V6" s="26"/>
      <c r="W6" s="24"/>
      <c r="X6" s="38"/>
      <c r="Y6" s="38"/>
      <c r="Z6" s="38"/>
      <c r="AA6" s="38"/>
      <c r="AB6" s="38"/>
      <c r="AC6" s="26"/>
      <c r="AD6" s="24"/>
      <c r="AE6" s="38"/>
      <c r="AF6" s="38"/>
      <c r="AG6" s="38"/>
      <c r="AH6" s="38"/>
      <c r="AI6" s="38"/>
      <c r="AJ6" s="26"/>
      <c r="AK6" s="19"/>
      <c r="AL6" s="34"/>
      <c r="AM6" s="34"/>
      <c r="AN6" s="34"/>
      <c r="AO6" s="34"/>
      <c r="AP6" s="34"/>
      <c r="AQ6" s="20"/>
      <c r="AR6" s="19"/>
      <c r="AS6" s="34"/>
      <c r="AT6" s="34"/>
      <c r="AU6" s="34"/>
      <c r="AV6" s="34"/>
      <c r="AW6" s="34"/>
      <c r="AX6" s="20"/>
      <c r="AY6" s="19"/>
      <c r="AZ6" s="34"/>
      <c r="BA6" s="34"/>
      <c r="BB6" s="34"/>
      <c r="BC6" s="34"/>
      <c r="BD6" s="20"/>
    </row>
    <row r="7" spans="1:56" x14ac:dyDescent="0.25">
      <c r="A7" s="2">
        <v>7692887</v>
      </c>
      <c r="B7" t="s">
        <v>45</v>
      </c>
      <c r="C7" s="2">
        <v>6012433361</v>
      </c>
      <c r="D7" t="s">
        <v>44</v>
      </c>
      <c r="E7" s="2">
        <v>2</v>
      </c>
      <c r="F7" s="30">
        <v>45406</v>
      </c>
      <c r="G7" s="30">
        <f>F7-K7</f>
        <v>45404</v>
      </c>
      <c r="H7" t="s">
        <v>100</v>
      </c>
      <c r="I7" s="16"/>
      <c r="J7" s="2">
        <v>2</v>
      </c>
      <c r="K7" s="2">
        <f t="shared" si="2"/>
        <v>2</v>
      </c>
      <c r="L7" s="2" t="s">
        <v>5</v>
      </c>
      <c r="M7" s="5" t="s">
        <v>36</v>
      </c>
      <c r="N7" s="3">
        <f t="shared" si="3"/>
        <v>26000</v>
      </c>
      <c r="O7" s="3">
        <f t="shared" si="1"/>
        <v>26000</v>
      </c>
      <c r="P7" s="24"/>
      <c r="Q7" s="38"/>
      <c r="R7" s="38">
        <v>26000</v>
      </c>
      <c r="S7" s="38"/>
      <c r="T7" s="38"/>
      <c r="U7" s="38"/>
      <c r="V7" s="26"/>
      <c r="W7" s="24"/>
      <c r="X7" s="38"/>
      <c r="Y7" s="38"/>
      <c r="Z7" s="38"/>
      <c r="AA7" s="38"/>
      <c r="AB7" s="38"/>
      <c r="AC7" s="26"/>
      <c r="AD7" s="24"/>
      <c r="AE7" s="38"/>
      <c r="AF7" s="38"/>
      <c r="AG7" s="38"/>
      <c r="AH7" s="38"/>
      <c r="AI7" s="38"/>
      <c r="AJ7" s="26"/>
      <c r="AK7" s="19"/>
      <c r="AL7" s="34"/>
      <c r="AM7" s="34"/>
      <c r="AN7" s="34"/>
      <c r="AO7" s="34"/>
      <c r="AP7" s="34"/>
      <c r="AQ7" s="20"/>
      <c r="AR7" s="19"/>
      <c r="AS7" s="34"/>
      <c r="AT7" s="34"/>
      <c r="AU7" s="34"/>
      <c r="AV7" s="34"/>
      <c r="AW7" s="34"/>
      <c r="AX7" s="20"/>
      <c r="AY7" s="19"/>
      <c r="AZ7" s="34"/>
      <c r="BA7" s="34"/>
      <c r="BB7" s="34"/>
      <c r="BC7" s="34"/>
      <c r="BD7" s="20"/>
    </row>
    <row r="8" spans="1:56" x14ac:dyDescent="0.25">
      <c r="A8" s="2">
        <v>7692888</v>
      </c>
      <c r="B8" t="s">
        <v>46</v>
      </c>
      <c r="C8" s="2">
        <v>6012433458</v>
      </c>
      <c r="D8" t="s">
        <v>44</v>
      </c>
      <c r="E8" s="2">
        <v>3</v>
      </c>
      <c r="F8" s="30">
        <v>45406</v>
      </c>
      <c r="G8" s="30">
        <f>F8-K8</f>
        <v>45404</v>
      </c>
      <c r="H8" t="s">
        <v>100</v>
      </c>
      <c r="I8" s="16"/>
      <c r="J8" s="2">
        <v>2</v>
      </c>
      <c r="K8" s="2">
        <f t="shared" si="2"/>
        <v>2</v>
      </c>
      <c r="L8" s="2" t="s">
        <v>5</v>
      </c>
      <c r="M8" s="5" t="s">
        <v>36</v>
      </c>
      <c r="N8" s="3">
        <f t="shared" si="3"/>
        <v>52000</v>
      </c>
      <c r="O8" s="3">
        <f t="shared" si="1"/>
        <v>52000</v>
      </c>
      <c r="P8" s="24"/>
      <c r="Q8" s="38"/>
      <c r="R8" s="38">
        <v>52000</v>
      </c>
      <c r="S8" s="38"/>
      <c r="T8" s="38"/>
      <c r="U8" s="38"/>
      <c r="V8" s="26"/>
      <c r="W8" s="24"/>
      <c r="X8" s="38"/>
      <c r="Y8" s="38"/>
      <c r="Z8" s="38"/>
      <c r="AA8" s="38"/>
      <c r="AB8" s="38"/>
      <c r="AC8" s="26"/>
      <c r="AD8" s="24"/>
      <c r="AE8" s="38"/>
      <c r="AF8" s="38"/>
      <c r="AG8" s="38"/>
      <c r="AH8" s="38"/>
      <c r="AI8" s="38"/>
      <c r="AJ8" s="26"/>
      <c r="AK8" s="19"/>
      <c r="AL8" s="34"/>
      <c r="AM8" s="34"/>
      <c r="AN8" s="34"/>
      <c r="AO8" s="34"/>
      <c r="AP8" s="34"/>
      <c r="AQ8" s="20"/>
      <c r="AR8" s="19"/>
      <c r="AS8" s="34"/>
      <c r="AT8" s="34"/>
      <c r="AU8" s="34"/>
      <c r="AV8" s="34"/>
      <c r="AW8" s="34"/>
      <c r="AX8" s="20"/>
      <c r="AY8" s="19"/>
      <c r="AZ8" s="34"/>
      <c r="BA8" s="34"/>
      <c r="BB8" s="34"/>
      <c r="BC8" s="34"/>
      <c r="BD8" s="20"/>
    </row>
    <row r="9" spans="1:56" x14ac:dyDescent="0.25">
      <c r="A9" s="2">
        <v>7692885</v>
      </c>
      <c r="B9" t="s">
        <v>47</v>
      </c>
      <c r="C9" s="2">
        <v>6012433635</v>
      </c>
      <c r="D9" t="s">
        <v>44</v>
      </c>
      <c r="E9" s="2">
        <v>9</v>
      </c>
      <c r="F9" s="30">
        <v>45406</v>
      </c>
      <c r="G9" s="30">
        <f>F9-K9</f>
        <v>45404</v>
      </c>
      <c r="H9" t="s">
        <v>100</v>
      </c>
      <c r="I9" s="16"/>
      <c r="J9" s="2">
        <v>2</v>
      </c>
      <c r="K9" s="2">
        <f t="shared" si="2"/>
        <v>2</v>
      </c>
      <c r="L9" s="2" t="s">
        <v>5</v>
      </c>
      <c r="M9" s="5" t="s">
        <v>36</v>
      </c>
      <c r="N9" s="3">
        <f t="shared" si="3"/>
        <v>180000</v>
      </c>
      <c r="O9" s="3">
        <f t="shared" si="1"/>
        <v>180000</v>
      </c>
      <c r="P9" s="24"/>
      <c r="Q9" s="38"/>
      <c r="R9" s="38">
        <v>180000</v>
      </c>
      <c r="S9" s="38"/>
      <c r="T9" s="38"/>
      <c r="U9" s="38"/>
      <c r="V9" s="26"/>
      <c r="W9" s="24"/>
      <c r="X9" s="38"/>
      <c r="Y9" s="38"/>
      <c r="Z9" s="38"/>
      <c r="AA9" s="38"/>
      <c r="AB9" s="38"/>
      <c r="AC9" s="26"/>
      <c r="AD9" s="24"/>
      <c r="AE9" s="38"/>
      <c r="AF9" s="38"/>
      <c r="AG9" s="38"/>
      <c r="AH9" s="38"/>
      <c r="AI9" s="38"/>
      <c r="AJ9" s="26"/>
      <c r="AK9" s="19"/>
      <c r="AL9" s="34"/>
      <c r="AM9" s="34"/>
      <c r="AN9" s="34"/>
      <c r="AO9" s="34"/>
      <c r="AP9" s="34"/>
      <c r="AQ9" s="20"/>
      <c r="AR9" s="19"/>
      <c r="AS9" s="34"/>
      <c r="AT9" s="34"/>
      <c r="AU9" s="34"/>
      <c r="AV9" s="34"/>
      <c r="AW9" s="34"/>
      <c r="AX9" s="20"/>
      <c r="AY9" s="19"/>
      <c r="AZ9" s="34"/>
      <c r="BA9" s="34"/>
      <c r="BB9" s="34"/>
      <c r="BC9" s="34"/>
      <c r="BD9" s="20"/>
    </row>
    <row r="10" spans="1:56" x14ac:dyDescent="0.25">
      <c r="A10" s="2">
        <v>7692879</v>
      </c>
      <c r="B10" t="s">
        <v>48</v>
      </c>
      <c r="C10" s="2">
        <v>6012433792</v>
      </c>
      <c r="D10" t="s">
        <v>44</v>
      </c>
      <c r="E10" s="2">
        <v>6</v>
      </c>
      <c r="F10" s="30">
        <v>45406</v>
      </c>
      <c r="G10" s="30">
        <f>F10-K10</f>
        <v>45404</v>
      </c>
      <c r="H10" t="s">
        <v>100</v>
      </c>
      <c r="I10" s="16"/>
      <c r="J10" s="2">
        <v>2</v>
      </c>
      <c r="K10" s="2">
        <f t="shared" si="2"/>
        <v>2</v>
      </c>
      <c r="L10" s="2" t="s">
        <v>5</v>
      </c>
      <c r="M10" s="5" t="s">
        <v>6</v>
      </c>
      <c r="N10" s="3">
        <f t="shared" si="3"/>
        <v>1000</v>
      </c>
      <c r="O10" s="3">
        <f t="shared" si="1"/>
        <v>1000</v>
      </c>
      <c r="P10" s="24"/>
      <c r="Q10" s="38"/>
      <c r="R10" s="38">
        <v>1000</v>
      </c>
      <c r="S10" s="38"/>
      <c r="T10" s="38"/>
      <c r="U10" s="38"/>
      <c r="V10" s="26"/>
      <c r="W10" s="24"/>
      <c r="X10" s="38"/>
      <c r="Y10" s="38"/>
      <c r="Z10" s="38"/>
      <c r="AA10" s="38"/>
      <c r="AB10" s="38"/>
      <c r="AC10" s="26"/>
      <c r="AD10" s="24"/>
      <c r="AE10" s="38"/>
      <c r="AF10" s="38"/>
      <c r="AG10" s="38"/>
      <c r="AH10" s="38"/>
      <c r="AI10" s="38"/>
      <c r="AJ10" s="26"/>
      <c r="AK10" s="19"/>
      <c r="AL10" s="34"/>
      <c r="AM10" s="34"/>
      <c r="AN10" s="34"/>
      <c r="AO10" s="34"/>
      <c r="AP10" s="34"/>
      <c r="AQ10" s="20"/>
      <c r="AR10" s="19"/>
      <c r="AS10" s="34"/>
      <c r="AT10" s="34"/>
      <c r="AU10" s="34"/>
      <c r="AV10" s="34"/>
      <c r="AW10" s="34"/>
      <c r="AX10" s="20"/>
      <c r="AY10" s="19"/>
      <c r="AZ10" s="34"/>
      <c r="BA10" s="34"/>
      <c r="BB10" s="34"/>
      <c r="BC10" s="34"/>
      <c r="BD10" s="20"/>
    </row>
    <row r="11" spans="1:56" x14ac:dyDescent="0.25">
      <c r="A11" s="2">
        <v>7692884</v>
      </c>
      <c r="B11" t="s">
        <v>49</v>
      </c>
      <c r="C11" s="2">
        <v>6012433815</v>
      </c>
      <c r="D11" t="s">
        <v>44</v>
      </c>
      <c r="E11" s="2">
        <v>6</v>
      </c>
      <c r="F11" s="30">
        <v>45406</v>
      </c>
      <c r="G11" s="30">
        <f>F11-K11</f>
        <v>45404</v>
      </c>
      <c r="H11" t="s">
        <v>100</v>
      </c>
      <c r="I11" s="16"/>
      <c r="J11" s="2">
        <v>2</v>
      </c>
      <c r="K11" s="2">
        <f t="shared" si="2"/>
        <v>2</v>
      </c>
      <c r="L11" s="2" t="s">
        <v>5</v>
      </c>
      <c r="M11" s="5" t="s">
        <v>36</v>
      </c>
      <c r="N11" s="3">
        <f t="shared" si="3"/>
        <v>260000</v>
      </c>
      <c r="O11" s="3">
        <f t="shared" si="1"/>
        <v>260000</v>
      </c>
      <c r="P11" s="24"/>
      <c r="Q11" s="38"/>
      <c r="R11" s="38">
        <v>260000</v>
      </c>
      <c r="S11" s="38"/>
      <c r="T11" s="38"/>
      <c r="U11" s="38"/>
      <c r="V11" s="26"/>
      <c r="W11" s="24"/>
      <c r="X11" s="38"/>
      <c r="Y11" s="38"/>
      <c r="Z11" s="38"/>
      <c r="AA11" s="38"/>
      <c r="AB11" s="38"/>
      <c r="AC11" s="26"/>
      <c r="AD11" s="24"/>
      <c r="AE11" s="38"/>
      <c r="AF11" s="38"/>
      <c r="AG11" s="38"/>
      <c r="AH11" s="38"/>
      <c r="AI11" s="38"/>
      <c r="AJ11" s="26"/>
      <c r="AK11" s="19"/>
      <c r="AL11" s="34"/>
      <c r="AM11" s="34"/>
      <c r="AN11" s="34"/>
      <c r="AO11" s="34"/>
      <c r="AP11" s="34"/>
      <c r="AQ11" s="20"/>
      <c r="AR11" s="19"/>
      <c r="AS11" s="34"/>
      <c r="AT11" s="34"/>
      <c r="AU11" s="34"/>
      <c r="AV11" s="34"/>
      <c r="AW11" s="34"/>
      <c r="AX11" s="20"/>
      <c r="AY11" s="19"/>
      <c r="AZ11" s="34"/>
      <c r="BA11" s="34"/>
      <c r="BB11" s="34"/>
      <c r="BC11" s="34"/>
      <c r="BD11" s="20"/>
    </row>
    <row r="12" spans="1:56" x14ac:dyDescent="0.25">
      <c r="A12" s="2">
        <v>7692880</v>
      </c>
      <c r="B12" t="s">
        <v>50</v>
      </c>
      <c r="C12" s="2">
        <v>6012433828</v>
      </c>
      <c r="D12" s="5" t="s">
        <v>44</v>
      </c>
      <c r="E12" s="2">
        <v>9</v>
      </c>
      <c r="F12" s="30">
        <v>45406</v>
      </c>
      <c r="G12" s="30">
        <f>F12-K12</f>
        <v>45404</v>
      </c>
      <c r="H12" t="s">
        <v>100</v>
      </c>
      <c r="I12" s="16"/>
      <c r="J12" s="2">
        <v>2</v>
      </c>
      <c r="K12" s="2">
        <f t="shared" si="2"/>
        <v>2</v>
      </c>
      <c r="L12" s="2" t="s">
        <v>5</v>
      </c>
      <c r="M12" s="5" t="s">
        <v>6</v>
      </c>
      <c r="N12" s="3">
        <f t="shared" si="3"/>
        <v>1000</v>
      </c>
      <c r="O12" s="3">
        <f t="shared" si="1"/>
        <v>1000</v>
      </c>
      <c r="P12" s="24"/>
      <c r="Q12" s="38"/>
      <c r="R12" s="38">
        <v>1000</v>
      </c>
      <c r="S12" s="38"/>
      <c r="T12" s="38"/>
      <c r="U12" s="38"/>
      <c r="V12" s="26"/>
      <c r="W12" s="24"/>
      <c r="X12" s="38"/>
      <c r="Y12" s="38"/>
      <c r="Z12" s="38"/>
      <c r="AA12" s="38"/>
      <c r="AB12" s="38"/>
      <c r="AC12" s="26"/>
      <c r="AD12" s="24"/>
      <c r="AE12" s="38"/>
      <c r="AF12" s="38"/>
      <c r="AG12" s="38"/>
      <c r="AH12" s="38"/>
      <c r="AI12" s="38"/>
      <c r="AJ12" s="26"/>
      <c r="AK12" s="19"/>
      <c r="AL12" s="34"/>
      <c r="AM12" s="34"/>
      <c r="AN12" s="34"/>
      <c r="AO12" s="34"/>
      <c r="AP12" s="34"/>
      <c r="AQ12" s="20"/>
      <c r="AR12" s="19"/>
      <c r="AS12" s="34"/>
      <c r="AT12" s="34"/>
      <c r="AU12" s="34"/>
      <c r="AV12" s="34"/>
      <c r="AW12" s="34"/>
      <c r="AX12" s="20"/>
      <c r="AY12" s="19"/>
      <c r="AZ12" s="34"/>
      <c r="BA12" s="34"/>
      <c r="BB12" s="34"/>
      <c r="BC12" s="34"/>
      <c r="BD12" s="20"/>
    </row>
    <row r="13" spans="1:56" x14ac:dyDescent="0.25">
      <c r="A13" s="2">
        <v>7692552</v>
      </c>
      <c r="B13" t="s">
        <v>25</v>
      </c>
      <c r="C13" s="2">
        <v>6012434593</v>
      </c>
      <c r="D13" s="5" t="s">
        <v>20</v>
      </c>
      <c r="E13" s="2">
        <v>9</v>
      </c>
      <c r="F13" s="30">
        <v>45432</v>
      </c>
      <c r="G13" s="30">
        <f>F13-K13</f>
        <v>45427</v>
      </c>
      <c r="H13" s="5" t="s">
        <v>99</v>
      </c>
      <c r="I13" s="16">
        <v>3</v>
      </c>
      <c r="J13" s="2">
        <v>2</v>
      </c>
      <c r="K13" s="2">
        <f t="shared" si="2"/>
        <v>5</v>
      </c>
      <c r="L13" s="2" t="s">
        <v>5</v>
      </c>
      <c r="M13" s="5" t="s">
        <v>6</v>
      </c>
      <c r="N13" s="3">
        <f t="shared" si="3"/>
        <v>0</v>
      </c>
      <c r="O13" s="3">
        <f t="shared" si="1"/>
        <v>150000</v>
      </c>
      <c r="P13" s="24"/>
      <c r="Q13" s="38"/>
      <c r="R13" s="38"/>
      <c r="S13" s="38"/>
      <c r="T13" s="38"/>
      <c r="U13" s="38"/>
      <c r="V13" s="26"/>
      <c r="W13" s="24"/>
      <c r="X13" s="38"/>
      <c r="Y13" s="38"/>
      <c r="Z13" s="38"/>
      <c r="AA13" s="38"/>
      <c r="AB13" s="38"/>
      <c r="AC13" s="26"/>
      <c r="AD13" s="24"/>
      <c r="AE13" s="38"/>
      <c r="AF13" s="38"/>
      <c r="AG13" s="38"/>
      <c r="AH13" s="38"/>
      <c r="AI13" s="38"/>
      <c r="AJ13" s="26"/>
      <c r="AK13" s="19"/>
      <c r="AL13" s="34"/>
      <c r="AM13" s="34">
        <v>150000</v>
      </c>
      <c r="AN13" s="34"/>
      <c r="AO13" s="34"/>
      <c r="AP13" s="34"/>
      <c r="AQ13" s="20"/>
      <c r="AR13" s="37"/>
      <c r="AS13" s="34"/>
      <c r="AT13" s="34"/>
      <c r="AU13" s="34"/>
      <c r="AV13" s="34"/>
      <c r="AW13" s="34"/>
      <c r="AX13" s="20"/>
      <c r="AY13" s="19"/>
      <c r="AZ13" s="34"/>
      <c r="BA13" s="34"/>
      <c r="BB13" s="34"/>
      <c r="BC13" s="34"/>
      <c r="BD13" s="20"/>
    </row>
    <row r="14" spans="1:56" x14ac:dyDescent="0.25">
      <c r="A14" s="2">
        <v>7692552</v>
      </c>
      <c r="B14" t="s">
        <v>25</v>
      </c>
      <c r="C14" s="2">
        <v>6012437331</v>
      </c>
      <c r="D14" s="5" t="s">
        <v>20</v>
      </c>
      <c r="E14" s="2">
        <v>9</v>
      </c>
      <c r="F14" s="30">
        <v>45436</v>
      </c>
      <c r="G14" s="30">
        <f>F14-K14</f>
        <v>45431</v>
      </c>
      <c r="H14" s="5" t="s">
        <v>99</v>
      </c>
      <c r="I14" s="16">
        <v>3</v>
      </c>
      <c r="J14" s="2">
        <v>2</v>
      </c>
      <c r="K14" s="2">
        <f t="shared" si="2"/>
        <v>5</v>
      </c>
      <c r="L14" s="2" t="s">
        <v>5</v>
      </c>
      <c r="M14" s="5" t="s">
        <v>6</v>
      </c>
      <c r="N14" s="3">
        <f t="shared" si="3"/>
        <v>0</v>
      </c>
      <c r="O14" s="3">
        <f t="shared" si="1"/>
        <v>150000</v>
      </c>
      <c r="P14" s="24"/>
      <c r="Q14" s="38"/>
      <c r="R14" s="38"/>
      <c r="S14" s="38"/>
      <c r="T14" s="38"/>
      <c r="U14" s="38"/>
      <c r="V14" s="26"/>
      <c r="W14" s="24"/>
      <c r="X14" s="38"/>
      <c r="Y14" s="38"/>
      <c r="Z14" s="38"/>
      <c r="AA14" s="38"/>
      <c r="AB14" s="38"/>
      <c r="AC14" s="26"/>
      <c r="AD14" s="24"/>
      <c r="AE14" s="38"/>
      <c r="AF14" s="38"/>
      <c r="AG14" s="38"/>
      <c r="AH14" s="38"/>
      <c r="AI14" s="38"/>
      <c r="AJ14" s="26"/>
      <c r="AK14" s="19"/>
      <c r="AL14" s="34"/>
      <c r="AM14" s="34"/>
      <c r="AN14" s="34"/>
      <c r="AO14" s="34"/>
      <c r="AP14" s="34"/>
      <c r="AQ14" s="20">
        <v>150000</v>
      </c>
      <c r="AR14" s="19"/>
      <c r="AS14" s="34"/>
      <c r="AT14" s="34"/>
      <c r="AU14" s="34"/>
      <c r="AV14" s="35"/>
      <c r="AW14" s="34"/>
      <c r="AX14" s="20"/>
      <c r="AY14" s="19"/>
      <c r="AZ14" s="34"/>
      <c r="BA14" s="34"/>
      <c r="BB14" s="34"/>
      <c r="BC14" s="34"/>
      <c r="BD14" s="20"/>
    </row>
    <row r="15" spans="1:56" x14ac:dyDescent="0.25">
      <c r="A15" s="2">
        <v>7692552</v>
      </c>
      <c r="B15" t="s">
        <v>25</v>
      </c>
      <c r="C15" s="2">
        <v>6012438015</v>
      </c>
      <c r="D15" s="5" t="s">
        <v>20</v>
      </c>
      <c r="E15" s="2">
        <v>9</v>
      </c>
      <c r="F15" s="30">
        <v>45428</v>
      </c>
      <c r="G15" s="30">
        <f>F15-K15</f>
        <v>45423</v>
      </c>
      <c r="H15" s="5" t="s">
        <v>99</v>
      </c>
      <c r="I15" s="16">
        <v>3</v>
      </c>
      <c r="J15" s="2">
        <v>2</v>
      </c>
      <c r="K15" s="2">
        <f t="shared" si="2"/>
        <v>5</v>
      </c>
      <c r="L15" s="2" t="s">
        <v>5</v>
      </c>
      <c r="M15" s="5" t="s">
        <v>6</v>
      </c>
      <c r="N15" s="3">
        <f t="shared" si="3"/>
        <v>150000</v>
      </c>
      <c r="O15" s="3">
        <f t="shared" si="1"/>
        <v>150000</v>
      </c>
      <c r="P15" s="24"/>
      <c r="Q15" s="38"/>
      <c r="R15" s="38"/>
      <c r="S15" s="38"/>
      <c r="T15" s="38"/>
      <c r="U15" s="38"/>
      <c r="V15" s="26"/>
      <c r="W15" s="24"/>
      <c r="X15" s="38"/>
      <c r="Y15" s="38"/>
      <c r="Z15" s="38"/>
      <c r="AA15" s="38"/>
      <c r="AB15" s="38"/>
      <c r="AC15" s="26"/>
      <c r="AD15" s="24"/>
      <c r="AE15" s="38"/>
      <c r="AF15" s="38"/>
      <c r="AG15" s="38"/>
      <c r="AH15" s="38"/>
      <c r="AI15" s="38">
        <v>150000</v>
      </c>
      <c r="AJ15" s="26"/>
      <c r="AK15" s="19"/>
      <c r="AL15" s="34"/>
      <c r="AM15" s="34"/>
      <c r="AN15" s="35"/>
      <c r="AO15" s="34"/>
      <c r="AP15" s="34"/>
      <c r="AQ15" s="20"/>
      <c r="AR15" s="19"/>
      <c r="AS15" s="34"/>
      <c r="AT15" s="34"/>
      <c r="AU15" s="34"/>
      <c r="AV15" s="34"/>
      <c r="AW15" s="34"/>
      <c r="AX15" s="20"/>
      <c r="AY15" s="19"/>
      <c r="AZ15" s="34"/>
      <c r="BA15" s="34"/>
      <c r="BB15" s="34"/>
      <c r="BC15" s="34"/>
      <c r="BD15" s="20"/>
    </row>
    <row r="16" spans="1:56" x14ac:dyDescent="0.25">
      <c r="A16" s="2">
        <v>7692552</v>
      </c>
      <c r="B16" t="s">
        <v>26</v>
      </c>
      <c r="C16" s="2">
        <v>6012437394</v>
      </c>
      <c r="D16" s="5" t="s">
        <v>17</v>
      </c>
      <c r="E16" s="2">
        <v>9</v>
      </c>
      <c r="F16" s="30">
        <v>45433</v>
      </c>
      <c r="G16" s="30">
        <f>F16-K16</f>
        <v>45428</v>
      </c>
      <c r="H16" s="5" t="s">
        <v>99</v>
      </c>
      <c r="I16" s="16">
        <v>3</v>
      </c>
      <c r="J16" s="2">
        <v>2</v>
      </c>
      <c r="K16" s="2">
        <f t="shared" si="2"/>
        <v>5</v>
      </c>
      <c r="L16" s="2" t="s">
        <v>5</v>
      </c>
      <c r="M16" s="5" t="s">
        <v>6</v>
      </c>
      <c r="N16" s="3">
        <f t="shared" si="3"/>
        <v>0</v>
      </c>
      <c r="O16" s="3">
        <f>SUM(P16:AY16)</f>
        <v>200000</v>
      </c>
      <c r="P16" s="24"/>
      <c r="Q16" s="38"/>
      <c r="R16" s="38"/>
      <c r="S16" s="38"/>
      <c r="T16" s="38"/>
      <c r="U16" s="38"/>
      <c r="V16" s="26"/>
      <c r="W16" s="24"/>
      <c r="X16" s="38"/>
      <c r="Y16" s="38"/>
      <c r="Z16" s="38"/>
      <c r="AA16" s="38"/>
      <c r="AB16" s="38"/>
      <c r="AC16" s="26"/>
      <c r="AD16" s="24"/>
      <c r="AE16" s="38"/>
      <c r="AF16" s="38"/>
      <c r="AG16" s="38"/>
      <c r="AH16" s="38"/>
      <c r="AI16" s="38"/>
      <c r="AJ16" s="26"/>
      <c r="AK16" s="19"/>
      <c r="AL16" s="34"/>
      <c r="AM16" s="34"/>
      <c r="AN16" s="34">
        <v>100000</v>
      </c>
      <c r="AO16" s="34"/>
      <c r="AP16" s="34"/>
      <c r="AQ16" s="20"/>
      <c r="AR16" s="19"/>
      <c r="AS16" s="34"/>
      <c r="AT16" s="34"/>
      <c r="AU16" s="34"/>
      <c r="AV16" s="34"/>
      <c r="AW16" s="34"/>
      <c r="AX16" s="20"/>
      <c r="AY16" s="19">
        <v>100000</v>
      </c>
      <c r="AZ16" s="35"/>
      <c r="BA16" s="35"/>
      <c r="BB16" s="35"/>
      <c r="BC16" s="35"/>
      <c r="BD16" s="36"/>
    </row>
    <row r="17" spans="1:56" x14ac:dyDescent="0.25">
      <c r="A17" s="2">
        <v>7692552</v>
      </c>
      <c r="B17" t="s">
        <v>60</v>
      </c>
      <c r="C17" s="2">
        <v>6012413978</v>
      </c>
      <c r="D17" s="5" t="s">
        <v>17</v>
      </c>
      <c r="E17" s="2">
        <v>9</v>
      </c>
      <c r="F17" s="30">
        <v>45426</v>
      </c>
      <c r="G17" s="30">
        <f>F17-K17</f>
        <v>45421</v>
      </c>
      <c r="H17" s="5" t="s">
        <v>99</v>
      </c>
      <c r="I17" s="16">
        <v>3</v>
      </c>
      <c r="J17" s="2">
        <v>2</v>
      </c>
      <c r="K17" s="2">
        <f t="shared" si="2"/>
        <v>5</v>
      </c>
      <c r="L17" s="2" t="s">
        <v>5</v>
      </c>
      <c r="M17" s="5" t="s">
        <v>6</v>
      </c>
      <c r="N17" s="3">
        <f t="shared" si="3"/>
        <v>100000</v>
      </c>
      <c r="O17" s="3">
        <f t="shared" si="1"/>
        <v>180000</v>
      </c>
      <c r="P17" s="24"/>
      <c r="Q17" s="38"/>
      <c r="R17" s="38"/>
      <c r="S17" s="38"/>
      <c r="T17" s="38"/>
      <c r="U17" s="38"/>
      <c r="V17" s="26"/>
      <c r="W17" s="24"/>
      <c r="X17" s="38"/>
      <c r="Y17" s="38"/>
      <c r="Z17" s="38"/>
      <c r="AA17" s="38"/>
      <c r="AB17" s="38"/>
      <c r="AC17" s="26"/>
      <c r="AD17" s="24"/>
      <c r="AE17" s="38"/>
      <c r="AF17" s="38"/>
      <c r="AG17" s="38">
        <v>100000</v>
      </c>
      <c r="AH17" s="38"/>
      <c r="AI17" s="38"/>
      <c r="AJ17" s="26"/>
      <c r="AK17" s="19"/>
      <c r="AL17" s="34"/>
      <c r="AM17" s="34"/>
      <c r="AN17" s="34"/>
      <c r="AO17" s="34"/>
      <c r="AP17" s="34"/>
      <c r="AQ17" s="20"/>
      <c r="AR17" s="19"/>
      <c r="AS17" s="34"/>
      <c r="AT17" s="34"/>
      <c r="AU17" s="34">
        <v>80000</v>
      </c>
      <c r="AV17" s="35"/>
      <c r="AW17" s="35"/>
      <c r="AX17" s="36"/>
      <c r="AY17" s="37"/>
      <c r="AZ17" s="35"/>
      <c r="BA17" s="34"/>
      <c r="BB17" s="34"/>
      <c r="BC17" s="34"/>
      <c r="BD17" s="20"/>
    </row>
    <row r="18" spans="1:56" x14ac:dyDescent="0.25">
      <c r="A18" s="2">
        <v>7692794</v>
      </c>
      <c r="B18" t="s">
        <v>81</v>
      </c>
      <c r="C18" s="2">
        <v>6012445706</v>
      </c>
      <c r="D18" s="5" t="s">
        <v>61</v>
      </c>
      <c r="E18" s="2">
        <v>9</v>
      </c>
      <c r="F18" s="30">
        <v>45432</v>
      </c>
      <c r="G18" s="30">
        <f>F18-K18</f>
        <v>45428</v>
      </c>
      <c r="H18" s="5" t="s">
        <v>96</v>
      </c>
      <c r="I18" s="16">
        <v>2</v>
      </c>
      <c r="J18" s="2">
        <v>2</v>
      </c>
      <c r="K18" s="2">
        <f t="shared" si="2"/>
        <v>4</v>
      </c>
      <c r="L18" s="2" t="s">
        <v>5</v>
      </c>
      <c r="M18" s="5" t="s">
        <v>6</v>
      </c>
      <c r="N18" s="3">
        <f t="shared" si="3"/>
        <v>0</v>
      </c>
      <c r="O18" s="3">
        <f t="shared" si="1"/>
        <v>165000</v>
      </c>
      <c r="P18" s="24"/>
      <c r="Q18" s="38"/>
      <c r="R18" s="38"/>
      <c r="S18" s="38"/>
      <c r="T18" s="38"/>
      <c r="U18" s="38"/>
      <c r="V18" s="26"/>
      <c r="W18" s="24"/>
      <c r="X18" s="38"/>
      <c r="Y18" s="38"/>
      <c r="Z18" s="38"/>
      <c r="AA18" s="38"/>
      <c r="AB18" s="38"/>
      <c r="AC18" s="26"/>
      <c r="AD18" s="24"/>
      <c r="AE18" s="38"/>
      <c r="AF18" s="38"/>
      <c r="AG18" s="38"/>
      <c r="AH18" s="38"/>
      <c r="AI18" s="38"/>
      <c r="AJ18" s="26"/>
      <c r="AK18" s="19"/>
      <c r="AL18" s="34"/>
      <c r="AM18" s="34"/>
      <c r="AN18" s="34">
        <v>82500</v>
      </c>
      <c r="AO18" s="34"/>
      <c r="AP18" s="34"/>
      <c r="AQ18" s="20"/>
      <c r="AR18" s="19"/>
      <c r="AS18" s="34"/>
      <c r="AT18" s="34"/>
      <c r="AU18" s="34"/>
      <c r="AV18" s="34"/>
      <c r="AW18" s="34">
        <v>82500</v>
      </c>
      <c r="AX18" s="36"/>
      <c r="AY18" s="37"/>
      <c r="AZ18" s="35"/>
      <c r="BA18" s="35"/>
      <c r="BB18" s="34"/>
      <c r="BC18" s="34"/>
      <c r="BD18" s="20"/>
    </row>
    <row r="19" spans="1:56" x14ac:dyDescent="0.25">
      <c r="A19" s="2">
        <v>7692794</v>
      </c>
      <c r="B19" t="s">
        <v>81</v>
      </c>
      <c r="C19" s="2">
        <v>6012448084</v>
      </c>
      <c r="D19" s="5" t="s">
        <v>61</v>
      </c>
      <c r="E19" s="2">
        <v>9</v>
      </c>
      <c r="F19" s="30">
        <v>45437</v>
      </c>
      <c r="G19" s="30">
        <f>F19-K19</f>
        <v>45433</v>
      </c>
      <c r="H19" s="5" t="s">
        <v>96</v>
      </c>
      <c r="I19" s="16">
        <v>2</v>
      </c>
      <c r="J19" s="2">
        <v>2</v>
      </c>
      <c r="K19" s="2">
        <f t="shared" si="2"/>
        <v>4</v>
      </c>
      <c r="L19" s="2" t="s">
        <v>5</v>
      </c>
      <c r="M19" s="5" t="s">
        <v>6</v>
      </c>
      <c r="N19" s="3">
        <f t="shared" si="3"/>
        <v>0</v>
      </c>
      <c r="O19" s="3">
        <f t="shared" si="1"/>
        <v>137500</v>
      </c>
      <c r="P19" s="24"/>
      <c r="Q19" s="38"/>
      <c r="R19" s="38"/>
      <c r="S19" s="38"/>
      <c r="T19" s="38"/>
      <c r="U19" s="38"/>
      <c r="V19" s="26"/>
      <c r="W19" s="24"/>
      <c r="X19" s="38"/>
      <c r="Y19" s="38"/>
      <c r="Z19" s="38"/>
      <c r="AA19" s="38"/>
      <c r="AB19" s="38"/>
      <c r="AC19" s="26"/>
      <c r="AD19" s="24"/>
      <c r="AE19" s="38"/>
      <c r="AF19" s="38"/>
      <c r="AG19" s="38"/>
      <c r="AH19" s="38"/>
      <c r="AI19" s="38"/>
      <c r="AJ19" s="26"/>
      <c r="AK19" s="19"/>
      <c r="AL19" s="34"/>
      <c r="AM19" s="34"/>
      <c r="AN19" s="34"/>
      <c r="AO19" s="34"/>
      <c r="AP19" s="34"/>
      <c r="AQ19" s="20"/>
      <c r="AR19" s="19"/>
      <c r="AS19" s="34">
        <v>55000</v>
      </c>
      <c r="AT19" s="34"/>
      <c r="AU19" s="34"/>
      <c r="AV19" s="34"/>
      <c r="AW19" s="34">
        <v>82500</v>
      </c>
      <c r="AX19" s="36"/>
      <c r="AY19" s="37"/>
      <c r="AZ19" s="35"/>
      <c r="BA19" s="35"/>
      <c r="BB19" s="34"/>
      <c r="BC19" s="34"/>
      <c r="BD19" s="20"/>
    </row>
    <row r="20" spans="1:56" x14ac:dyDescent="0.25">
      <c r="A20" s="2">
        <v>7692794</v>
      </c>
      <c r="B20" t="s">
        <v>82</v>
      </c>
      <c r="C20" s="2">
        <v>6012445707</v>
      </c>
      <c r="D20" s="5" t="s">
        <v>39</v>
      </c>
      <c r="E20" s="2">
        <v>9</v>
      </c>
      <c r="F20" s="30">
        <v>45427</v>
      </c>
      <c r="G20" s="30">
        <f>F20-K20</f>
        <v>45423</v>
      </c>
      <c r="H20" s="5" t="s">
        <v>96</v>
      </c>
      <c r="I20" s="16">
        <v>2</v>
      </c>
      <c r="J20" s="2">
        <v>2</v>
      </c>
      <c r="K20" s="2">
        <f t="shared" si="2"/>
        <v>4</v>
      </c>
      <c r="L20" s="2" t="s">
        <v>5</v>
      </c>
      <c r="M20" s="5" t="s">
        <v>6</v>
      </c>
      <c r="N20" s="3">
        <f t="shared" si="3"/>
        <v>82500</v>
      </c>
      <c r="O20" s="3">
        <f t="shared" si="1"/>
        <v>82500</v>
      </c>
      <c r="P20" s="24"/>
      <c r="Q20" s="38"/>
      <c r="R20" s="38"/>
      <c r="S20" s="38"/>
      <c r="T20" s="38"/>
      <c r="U20" s="38"/>
      <c r="V20" s="26"/>
      <c r="W20" s="24"/>
      <c r="X20" s="38"/>
      <c r="Y20" s="38"/>
      <c r="Z20" s="38"/>
      <c r="AA20" s="38"/>
      <c r="AB20" s="38"/>
      <c r="AC20" s="26"/>
      <c r="AD20" s="24"/>
      <c r="AE20" s="38"/>
      <c r="AF20" s="38"/>
      <c r="AG20" s="38"/>
      <c r="AH20" s="38"/>
      <c r="AI20" s="38">
        <v>82500</v>
      </c>
      <c r="AJ20" s="26"/>
      <c r="AK20" s="19"/>
      <c r="AL20" s="34"/>
      <c r="AM20" s="35"/>
      <c r="AN20" s="34"/>
      <c r="AO20" s="34"/>
      <c r="AP20" s="34"/>
      <c r="AQ20" s="20"/>
      <c r="AR20" s="19"/>
      <c r="AS20" s="34"/>
      <c r="AT20" s="34"/>
      <c r="AU20" s="34"/>
      <c r="AV20" s="34"/>
      <c r="AW20" s="34"/>
      <c r="AX20" s="20"/>
      <c r="AY20" s="19"/>
      <c r="AZ20" s="34"/>
      <c r="BA20" s="34"/>
      <c r="BB20" s="34"/>
      <c r="BC20" s="34"/>
      <c r="BD20" s="20"/>
    </row>
    <row r="21" spans="1:56" x14ac:dyDescent="0.25">
      <c r="A21" s="2">
        <v>7692794</v>
      </c>
      <c r="B21" t="s">
        <v>82</v>
      </c>
      <c r="C21" s="2">
        <v>6012445708</v>
      </c>
      <c r="D21" s="5" t="s">
        <v>39</v>
      </c>
      <c r="E21" s="2">
        <v>9</v>
      </c>
      <c r="F21" s="30">
        <v>45423</v>
      </c>
      <c r="G21" s="30">
        <f>F21-K21</f>
        <v>45419</v>
      </c>
      <c r="H21" s="5" t="s">
        <v>96</v>
      </c>
      <c r="I21" s="16">
        <v>2</v>
      </c>
      <c r="J21" s="2">
        <v>2</v>
      </c>
      <c r="K21" s="2">
        <f t="shared" si="2"/>
        <v>4</v>
      </c>
      <c r="L21" s="2" t="s">
        <v>5</v>
      </c>
      <c r="M21" s="5" t="s">
        <v>6</v>
      </c>
      <c r="N21" s="3">
        <f t="shared" si="3"/>
        <v>82500</v>
      </c>
      <c r="O21" s="3">
        <f t="shared" si="1"/>
        <v>137500</v>
      </c>
      <c r="P21" s="24"/>
      <c r="Q21" s="38"/>
      <c r="R21" s="38"/>
      <c r="S21" s="38"/>
      <c r="T21" s="38"/>
      <c r="U21" s="38"/>
      <c r="V21" s="26"/>
      <c r="W21" s="24"/>
      <c r="X21" s="38"/>
      <c r="Y21" s="38"/>
      <c r="Z21" s="38"/>
      <c r="AA21" s="38"/>
      <c r="AB21" s="38"/>
      <c r="AC21" s="26"/>
      <c r="AD21" s="24"/>
      <c r="AE21" s="38">
        <v>82500</v>
      </c>
      <c r="AF21" s="38"/>
      <c r="AG21" s="38"/>
      <c r="AH21" s="38"/>
      <c r="AI21" s="38"/>
      <c r="AJ21" s="26"/>
      <c r="AK21" s="19"/>
      <c r="AL21" s="34"/>
      <c r="AM21" s="34"/>
      <c r="AN21" s="34"/>
      <c r="AO21" s="34"/>
      <c r="AP21" s="34"/>
      <c r="AQ21" s="20"/>
      <c r="AR21" s="19"/>
      <c r="AS21" s="34"/>
      <c r="AT21" s="34"/>
      <c r="AU21" s="34"/>
      <c r="AV21" s="34"/>
      <c r="AW21" s="34">
        <v>55000</v>
      </c>
      <c r="AX21" s="36"/>
      <c r="AY21" s="37"/>
      <c r="AZ21" s="35"/>
      <c r="BA21" s="35"/>
      <c r="BB21" s="34"/>
      <c r="BC21" s="34"/>
      <c r="BD21" s="20"/>
    </row>
    <row r="22" spans="1:56" x14ac:dyDescent="0.25">
      <c r="A22" s="2">
        <v>7692794</v>
      </c>
      <c r="B22" t="s">
        <v>82</v>
      </c>
      <c r="C22" s="2">
        <v>6012448365</v>
      </c>
      <c r="D22" s="5" t="s">
        <v>39</v>
      </c>
      <c r="E22" s="2">
        <v>9</v>
      </c>
      <c r="F22" s="30">
        <v>45434</v>
      </c>
      <c r="G22" s="30">
        <f>F22-K22</f>
        <v>45430</v>
      </c>
      <c r="H22" s="5" t="s">
        <v>96</v>
      </c>
      <c r="I22" s="16">
        <v>2</v>
      </c>
      <c r="J22" s="2">
        <v>2</v>
      </c>
      <c r="K22" s="2">
        <f t="shared" si="2"/>
        <v>4</v>
      </c>
      <c r="L22" s="2" t="s">
        <v>5</v>
      </c>
      <c r="M22" s="5" t="s">
        <v>6</v>
      </c>
      <c r="N22" s="3">
        <f t="shared" si="3"/>
        <v>0</v>
      </c>
      <c r="O22" s="3">
        <f t="shared" si="1"/>
        <v>192500</v>
      </c>
      <c r="P22" s="24"/>
      <c r="Q22" s="38"/>
      <c r="R22" s="38"/>
      <c r="S22" s="38"/>
      <c r="T22" s="38"/>
      <c r="U22" s="38"/>
      <c r="V22" s="26"/>
      <c r="W22" s="24"/>
      <c r="X22" s="38"/>
      <c r="Y22" s="38"/>
      <c r="Z22" s="38"/>
      <c r="AA22" s="38"/>
      <c r="AB22" s="38"/>
      <c r="AC22" s="26"/>
      <c r="AD22" s="24"/>
      <c r="AE22" s="38"/>
      <c r="AF22" s="38"/>
      <c r="AG22" s="38"/>
      <c r="AH22" s="38"/>
      <c r="AI22" s="38"/>
      <c r="AJ22" s="26"/>
      <c r="AK22" s="19"/>
      <c r="AL22" s="34"/>
      <c r="AM22" s="34"/>
      <c r="AN22" s="34"/>
      <c r="AO22" s="34"/>
      <c r="AP22" s="34">
        <v>82500</v>
      </c>
      <c r="AQ22" s="20"/>
      <c r="AR22" s="19"/>
      <c r="AS22" s="34">
        <v>55000</v>
      </c>
      <c r="AT22" s="34"/>
      <c r="AU22" s="34">
        <v>55000</v>
      </c>
      <c r="AV22" s="35"/>
      <c r="AW22" s="35"/>
      <c r="AX22" s="36"/>
      <c r="AY22" s="37"/>
      <c r="AZ22" s="34"/>
      <c r="BA22" s="34"/>
      <c r="BB22" s="34"/>
      <c r="BC22" s="34"/>
      <c r="BD22" s="20"/>
    </row>
    <row r="23" spans="1:56" x14ac:dyDescent="0.25">
      <c r="A23" s="2">
        <v>7692794</v>
      </c>
      <c r="B23" t="s">
        <v>62</v>
      </c>
      <c r="C23" s="2">
        <v>6012448267</v>
      </c>
      <c r="D23" s="5" t="s">
        <v>34</v>
      </c>
      <c r="E23" s="2">
        <v>9</v>
      </c>
      <c r="F23" s="30">
        <v>45425</v>
      </c>
      <c r="G23" s="30">
        <f>F23-K23</f>
        <v>45421</v>
      </c>
      <c r="H23" s="5" t="s">
        <v>96</v>
      </c>
      <c r="I23" s="16">
        <v>2</v>
      </c>
      <c r="J23" s="2">
        <v>2</v>
      </c>
      <c r="K23" s="2">
        <f t="shared" si="2"/>
        <v>4</v>
      </c>
      <c r="L23" s="2" t="s">
        <v>5</v>
      </c>
      <c r="M23" s="5" t="s">
        <v>6</v>
      </c>
      <c r="N23" s="3">
        <f t="shared" si="3"/>
        <v>55000</v>
      </c>
      <c r="O23" s="3">
        <f t="shared" si="1"/>
        <v>110000</v>
      </c>
      <c r="P23" s="24"/>
      <c r="Q23" s="38"/>
      <c r="R23" s="38"/>
      <c r="S23" s="38"/>
      <c r="T23" s="38"/>
      <c r="U23" s="38"/>
      <c r="V23" s="26"/>
      <c r="W23" s="24"/>
      <c r="X23" s="38"/>
      <c r="Y23" s="38"/>
      <c r="Z23" s="38"/>
      <c r="AA23" s="38"/>
      <c r="AB23" s="38"/>
      <c r="AC23" s="26"/>
      <c r="AD23" s="24"/>
      <c r="AE23" s="38"/>
      <c r="AF23" s="38"/>
      <c r="AG23" s="38">
        <v>55000</v>
      </c>
      <c r="AH23" s="38"/>
      <c r="AI23" s="38"/>
      <c r="AJ23" s="26"/>
      <c r="AK23" s="19"/>
      <c r="AL23" s="34"/>
      <c r="AM23" s="34"/>
      <c r="AN23" s="34"/>
      <c r="AO23" s="34"/>
      <c r="AP23" s="34"/>
      <c r="AQ23" s="20"/>
      <c r="AR23" s="19"/>
      <c r="AS23" s="34">
        <v>55000</v>
      </c>
      <c r="AT23" s="35"/>
      <c r="AU23" s="35"/>
      <c r="AV23" s="35"/>
      <c r="AW23" s="35"/>
      <c r="AX23" s="20"/>
      <c r="AY23" s="19"/>
      <c r="AZ23" s="34"/>
      <c r="BA23" s="34"/>
      <c r="BB23" s="34"/>
      <c r="BC23" s="34"/>
      <c r="BD23" s="20"/>
    </row>
    <row r="24" spans="1:56" x14ac:dyDescent="0.25">
      <c r="A24" s="2">
        <v>7692794</v>
      </c>
      <c r="B24" t="s">
        <v>62</v>
      </c>
      <c r="C24" s="2">
        <v>6012448268</v>
      </c>
      <c r="D24" s="5" t="s">
        <v>34</v>
      </c>
      <c r="E24" s="2">
        <v>9</v>
      </c>
      <c r="F24" s="30">
        <v>45429</v>
      </c>
      <c r="G24" s="30">
        <f>F24-K24</f>
        <v>45425</v>
      </c>
      <c r="H24" s="5" t="s">
        <v>96</v>
      </c>
      <c r="I24" s="16">
        <v>2</v>
      </c>
      <c r="J24" s="2">
        <v>2</v>
      </c>
      <c r="K24" s="2">
        <f t="shared" si="2"/>
        <v>4</v>
      </c>
      <c r="L24" s="2" t="s">
        <v>5</v>
      </c>
      <c r="M24" s="5" t="s">
        <v>6</v>
      </c>
      <c r="N24" s="3">
        <f t="shared" si="3"/>
        <v>0</v>
      </c>
      <c r="O24" s="3">
        <f t="shared" si="1"/>
        <v>55000</v>
      </c>
      <c r="P24" s="24"/>
      <c r="Q24" s="38"/>
      <c r="R24" s="38"/>
      <c r="S24" s="38"/>
      <c r="T24" s="38"/>
      <c r="U24" s="38"/>
      <c r="V24" s="26"/>
      <c r="W24" s="24"/>
      <c r="X24" s="38"/>
      <c r="Y24" s="38"/>
      <c r="Z24" s="38"/>
      <c r="AA24" s="38"/>
      <c r="AB24" s="38"/>
      <c r="AC24" s="26"/>
      <c r="AD24" s="24"/>
      <c r="AE24" s="38"/>
      <c r="AF24" s="38"/>
      <c r="AG24" s="38"/>
      <c r="AH24" s="38"/>
      <c r="AI24" s="38"/>
      <c r="AJ24" s="26"/>
      <c r="AK24" s="19">
        <v>55000</v>
      </c>
      <c r="AL24" s="34"/>
      <c r="AM24" s="34"/>
      <c r="AN24" s="34"/>
      <c r="AO24" s="35"/>
      <c r="AP24" s="34"/>
      <c r="AQ24" s="20"/>
      <c r="AR24" s="19"/>
      <c r="AS24" s="34"/>
      <c r="AT24" s="34"/>
      <c r="AU24" s="34"/>
      <c r="AV24" s="34"/>
      <c r="AW24" s="34"/>
      <c r="AX24" s="20"/>
      <c r="AY24" s="19"/>
      <c r="AZ24" s="34"/>
      <c r="BA24" s="34"/>
      <c r="BB24" s="34"/>
      <c r="BC24" s="34"/>
      <c r="BD24" s="20"/>
    </row>
    <row r="25" spans="1:56" x14ac:dyDescent="0.25">
      <c r="A25" s="2">
        <v>7600127</v>
      </c>
      <c r="B25" t="s">
        <v>29</v>
      </c>
      <c r="C25" s="2">
        <v>6012446538</v>
      </c>
      <c r="D25" s="5" t="s">
        <v>28</v>
      </c>
      <c r="E25" s="2">
        <v>12</v>
      </c>
      <c r="F25" s="30">
        <v>45430</v>
      </c>
      <c r="G25" s="30">
        <f>F25-K25</f>
        <v>45425</v>
      </c>
      <c r="H25" s="5" t="s">
        <v>97</v>
      </c>
      <c r="I25" s="16">
        <v>3</v>
      </c>
      <c r="J25" s="2">
        <v>2</v>
      </c>
      <c r="K25" s="2">
        <f t="shared" si="2"/>
        <v>5</v>
      </c>
      <c r="L25" s="2" t="s">
        <v>5</v>
      </c>
      <c r="M25" s="5" t="s">
        <v>6</v>
      </c>
      <c r="N25" s="3">
        <f t="shared" si="3"/>
        <v>0</v>
      </c>
      <c r="O25" s="3">
        <f t="shared" si="1"/>
        <v>100000</v>
      </c>
      <c r="P25" s="24"/>
      <c r="Q25" s="38"/>
      <c r="R25" s="38"/>
      <c r="S25" s="38"/>
      <c r="T25" s="38"/>
      <c r="U25" s="38"/>
      <c r="V25" s="26"/>
      <c r="W25" s="24"/>
      <c r="X25" s="38"/>
      <c r="Y25" s="38"/>
      <c r="Z25" s="38"/>
      <c r="AA25" s="38"/>
      <c r="AB25" s="38"/>
      <c r="AC25" s="26"/>
      <c r="AD25" s="24"/>
      <c r="AE25" s="38"/>
      <c r="AF25" s="38"/>
      <c r="AG25" s="38"/>
      <c r="AH25" s="38"/>
      <c r="AI25" s="38"/>
      <c r="AJ25" s="26"/>
      <c r="AK25" s="19">
        <v>100000</v>
      </c>
      <c r="AL25" s="34"/>
      <c r="AM25" s="34"/>
      <c r="AN25" s="34"/>
      <c r="AO25" s="34"/>
      <c r="AP25" s="35"/>
      <c r="AQ25" s="20"/>
      <c r="AR25" s="19"/>
      <c r="AS25" s="34"/>
      <c r="AT25" s="34"/>
      <c r="AU25" s="34"/>
      <c r="AV25" s="34"/>
      <c r="AW25" s="34"/>
      <c r="AX25" s="20"/>
      <c r="AY25" s="19"/>
      <c r="AZ25" s="34"/>
      <c r="BA25" s="34"/>
      <c r="BB25" s="34"/>
      <c r="BC25" s="34"/>
      <c r="BD25" s="20"/>
    </row>
    <row r="26" spans="1:56" x14ac:dyDescent="0.25">
      <c r="A26" s="2">
        <v>7600127</v>
      </c>
      <c r="B26" t="s">
        <v>29</v>
      </c>
      <c r="C26" s="2">
        <v>6012446539</v>
      </c>
      <c r="D26" s="5" t="s">
        <v>28</v>
      </c>
      <c r="E26" s="2">
        <v>12</v>
      </c>
      <c r="F26" s="30">
        <v>45423</v>
      </c>
      <c r="G26" s="30">
        <f>F26-K26</f>
        <v>45418</v>
      </c>
      <c r="H26" s="5" t="s">
        <v>97</v>
      </c>
      <c r="I26" s="16">
        <v>3</v>
      </c>
      <c r="J26" s="2">
        <v>2</v>
      </c>
      <c r="K26" s="2">
        <f t="shared" si="2"/>
        <v>5</v>
      </c>
      <c r="L26" s="2" t="s">
        <v>5</v>
      </c>
      <c r="M26" s="5" t="s">
        <v>6</v>
      </c>
      <c r="N26" s="3">
        <f t="shared" si="3"/>
        <v>150000</v>
      </c>
      <c r="O26" s="3">
        <f t="shared" si="1"/>
        <v>250000</v>
      </c>
      <c r="P26" s="24"/>
      <c r="Q26" s="38"/>
      <c r="R26" s="38"/>
      <c r="S26" s="38"/>
      <c r="T26" s="38"/>
      <c r="U26" s="38"/>
      <c r="V26" s="26"/>
      <c r="W26" s="24"/>
      <c r="X26" s="38"/>
      <c r="Y26" s="38"/>
      <c r="Z26" s="38"/>
      <c r="AA26" s="38"/>
      <c r="AB26" s="38"/>
      <c r="AC26" s="26"/>
      <c r="AD26" s="24">
        <v>150000</v>
      </c>
      <c r="AE26" s="38"/>
      <c r="AF26" s="38"/>
      <c r="AG26" s="38"/>
      <c r="AH26" s="38"/>
      <c r="AI26" s="38"/>
      <c r="AJ26" s="26"/>
      <c r="AK26" s="19"/>
      <c r="AL26" s="34"/>
      <c r="AM26" s="34"/>
      <c r="AN26" s="34"/>
      <c r="AO26" s="34"/>
      <c r="AP26" s="34"/>
      <c r="AQ26" s="20">
        <v>100000</v>
      </c>
      <c r="AR26" s="37"/>
      <c r="AS26" s="35"/>
      <c r="AT26" s="35"/>
      <c r="AU26" s="35"/>
      <c r="AV26" s="35"/>
      <c r="AW26" s="34"/>
      <c r="AX26" s="20"/>
      <c r="AY26" s="19"/>
      <c r="AZ26" s="34"/>
      <c r="BA26" s="34"/>
      <c r="BB26" s="34"/>
      <c r="BC26" s="34"/>
      <c r="BD26" s="20"/>
    </row>
    <row r="27" spans="1:56" x14ac:dyDescent="0.25">
      <c r="A27" s="2">
        <v>7692557</v>
      </c>
      <c r="B27" t="s">
        <v>22</v>
      </c>
      <c r="C27" s="2">
        <v>6012437670</v>
      </c>
      <c r="D27" s="5" t="s">
        <v>23</v>
      </c>
      <c r="E27" s="2">
        <v>6</v>
      </c>
      <c r="F27" s="30">
        <v>45440</v>
      </c>
      <c r="G27" s="30">
        <f>F27-K27</f>
        <v>45428</v>
      </c>
      <c r="H27" s="5" t="s">
        <v>13</v>
      </c>
      <c r="I27" s="16">
        <v>10</v>
      </c>
      <c r="J27" s="2">
        <v>2</v>
      </c>
      <c r="K27" s="2">
        <f t="shared" si="2"/>
        <v>12</v>
      </c>
      <c r="L27" s="2" t="s">
        <v>5</v>
      </c>
      <c r="M27" s="5" t="s">
        <v>6</v>
      </c>
      <c r="N27" s="3">
        <f t="shared" si="3"/>
        <v>0</v>
      </c>
      <c r="O27" s="3">
        <f t="shared" si="1"/>
        <v>80000</v>
      </c>
      <c r="P27" s="24"/>
      <c r="Q27" s="38"/>
      <c r="R27" s="38"/>
      <c r="S27" s="38"/>
      <c r="T27" s="38"/>
      <c r="U27" s="38"/>
      <c r="V27" s="26"/>
      <c r="W27" s="24"/>
      <c r="X27" s="38"/>
      <c r="Y27" s="38"/>
      <c r="Z27" s="38"/>
      <c r="AA27" s="38"/>
      <c r="AB27" s="38"/>
      <c r="AC27" s="26"/>
      <c r="AD27" s="24"/>
      <c r="AE27" s="38"/>
      <c r="AF27" s="38"/>
      <c r="AG27" s="38"/>
      <c r="AH27" s="38"/>
      <c r="AI27" s="38"/>
      <c r="AJ27" s="26"/>
      <c r="AK27" s="19"/>
      <c r="AL27" s="34"/>
      <c r="AM27" s="34"/>
      <c r="AN27" s="34">
        <v>80000</v>
      </c>
      <c r="AO27" s="34"/>
      <c r="AP27" s="35"/>
      <c r="AQ27" s="20"/>
      <c r="AR27" s="19"/>
      <c r="AS27" s="34"/>
      <c r="AT27" s="34"/>
      <c r="AU27" s="34"/>
      <c r="AV27" s="34"/>
      <c r="AW27" s="34"/>
      <c r="AX27" s="20"/>
      <c r="AY27" s="19"/>
      <c r="AZ27" s="35"/>
      <c r="BA27" s="34"/>
      <c r="BB27" s="34"/>
      <c r="BC27" s="34"/>
      <c r="BD27" s="20"/>
    </row>
    <row r="28" spans="1:56" x14ac:dyDescent="0.25">
      <c r="A28" s="2">
        <v>7692560</v>
      </c>
      <c r="B28" t="s">
        <v>30</v>
      </c>
      <c r="C28" s="2">
        <v>6012437994</v>
      </c>
      <c r="D28" s="5" t="s">
        <v>31</v>
      </c>
      <c r="E28" s="2">
        <v>12</v>
      </c>
      <c r="F28" s="30">
        <v>45432</v>
      </c>
      <c r="G28" s="30">
        <f>F28-K28</f>
        <v>45420</v>
      </c>
      <c r="H28" s="5" t="s">
        <v>13</v>
      </c>
      <c r="I28" s="16">
        <v>10</v>
      </c>
      <c r="J28" s="2">
        <v>2</v>
      </c>
      <c r="K28" s="2">
        <f t="shared" si="2"/>
        <v>12</v>
      </c>
      <c r="L28" s="2" t="s">
        <v>5</v>
      </c>
      <c r="M28" s="5" t="s">
        <v>6</v>
      </c>
      <c r="N28" s="3">
        <f t="shared" si="3"/>
        <v>80000</v>
      </c>
      <c r="O28" s="3">
        <f t="shared" si="1"/>
        <v>130000</v>
      </c>
      <c r="P28" s="24"/>
      <c r="Q28" s="38"/>
      <c r="R28" s="38"/>
      <c r="S28" s="38"/>
      <c r="T28" s="38"/>
      <c r="U28" s="38"/>
      <c r="V28" s="26"/>
      <c r="W28" s="24"/>
      <c r="X28" s="38"/>
      <c r="Y28" s="38"/>
      <c r="Z28" s="38"/>
      <c r="AA28" s="38"/>
      <c r="AB28" s="38"/>
      <c r="AC28" s="26"/>
      <c r="AD28" s="24"/>
      <c r="AE28" s="38"/>
      <c r="AF28" s="38">
        <v>80000</v>
      </c>
      <c r="AG28" s="38"/>
      <c r="AH28" s="38"/>
      <c r="AI28" s="38"/>
      <c r="AJ28" s="26"/>
      <c r="AK28" s="19"/>
      <c r="AL28" s="34"/>
      <c r="AM28" s="34"/>
      <c r="AN28" s="34"/>
      <c r="AO28" s="34"/>
      <c r="AP28" s="34"/>
      <c r="AQ28" s="20">
        <v>50000</v>
      </c>
      <c r="AR28" s="37"/>
      <c r="AS28" s="35"/>
      <c r="AT28" s="35"/>
      <c r="AU28" s="35"/>
      <c r="AV28" s="35"/>
      <c r="AW28" s="35"/>
      <c r="AX28" s="36"/>
      <c r="AY28" s="37"/>
      <c r="AZ28" s="35"/>
      <c r="BA28" s="35"/>
      <c r="BB28" s="35"/>
      <c r="BC28" s="35"/>
      <c r="BD28" s="20"/>
    </row>
    <row r="29" spans="1:56" x14ac:dyDescent="0.25">
      <c r="A29" s="2">
        <v>7692560</v>
      </c>
      <c r="B29" t="s">
        <v>30</v>
      </c>
      <c r="C29" s="2">
        <v>6012438028</v>
      </c>
      <c r="D29" s="5" t="s">
        <v>33</v>
      </c>
      <c r="E29" s="2">
        <v>12</v>
      </c>
      <c r="F29" s="30">
        <v>45432</v>
      </c>
      <c r="G29" s="30">
        <f>F29-K29</f>
        <v>45420</v>
      </c>
      <c r="H29" s="5" t="s">
        <v>13</v>
      </c>
      <c r="I29" s="16">
        <v>10</v>
      </c>
      <c r="J29" s="2">
        <v>2</v>
      </c>
      <c r="K29" s="2">
        <f t="shared" si="2"/>
        <v>12</v>
      </c>
      <c r="L29" s="2" t="s">
        <v>5</v>
      </c>
      <c r="M29" s="5" t="s">
        <v>6</v>
      </c>
      <c r="N29" s="3">
        <f t="shared" si="3"/>
        <v>60000</v>
      </c>
      <c r="O29" s="3">
        <f t="shared" si="1"/>
        <v>120000</v>
      </c>
      <c r="P29" s="24"/>
      <c r="Q29" s="38"/>
      <c r="R29" s="38"/>
      <c r="S29" s="38"/>
      <c r="T29" s="38"/>
      <c r="U29" s="38"/>
      <c r="V29" s="26"/>
      <c r="W29" s="24"/>
      <c r="X29" s="38"/>
      <c r="Y29" s="38"/>
      <c r="Z29" s="38"/>
      <c r="AA29" s="38"/>
      <c r="AB29" s="38"/>
      <c r="AC29" s="26"/>
      <c r="AD29" s="24"/>
      <c r="AE29" s="38"/>
      <c r="AF29" s="38">
        <v>60000</v>
      </c>
      <c r="AG29" s="38"/>
      <c r="AH29" s="38"/>
      <c r="AI29" s="38"/>
      <c r="AJ29" s="26"/>
      <c r="AK29" s="19"/>
      <c r="AL29" s="34"/>
      <c r="AM29" s="34"/>
      <c r="AN29" s="34"/>
      <c r="AO29" s="34"/>
      <c r="AP29" s="34">
        <v>60000</v>
      </c>
      <c r="AQ29" s="20"/>
      <c r="AR29" s="37"/>
      <c r="AS29" s="35"/>
      <c r="AT29" s="35"/>
      <c r="AU29" s="35"/>
      <c r="AV29" s="35"/>
      <c r="AW29" s="35"/>
      <c r="AX29" s="36"/>
      <c r="AY29" s="37"/>
      <c r="AZ29" s="35"/>
      <c r="BA29" s="35"/>
      <c r="BB29" s="35"/>
      <c r="BC29" s="34"/>
      <c r="BD29" s="20"/>
    </row>
    <row r="30" spans="1:56" x14ac:dyDescent="0.25">
      <c r="A30" s="2">
        <v>7692560</v>
      </c>
      <c r="B30" t="s">
        <v>30</v>
      </c>
      <c r="C30" s="2">
        <v>6012438066</v>
      </c>
      <c r="D30" s="5" t="s">
        <v>31</v>
      </c>
      <c r="E30" s="2">
        <v>12</v>
      </c>
      <c r="F30" s="30">
        <v>45439</v>
      </c>
      <c r="G30" s="30">
        <f>F30-K30</f>
        <v>45427</v>
      </c>
      <c r="H30" s="5" t="s">
        <v>13</v>
      </c>
      <c r="I30" s="16">
        <v>10</v>
      </c>
      <c r="J30" s="2">
        <v>2</v>
      </c>
      <c r="K30" s="2">
        <f t="shared" si="2"/>
        <v>12</v>
      </c>
      <c r="L30" s="2" t="s">
        <v>5</v>
      </c>
      <c r="M30" s="5" t="s">
        <v>6</v>
      </c>
      <c r="N30" s="3">
        <f t="shared" si="3"/>
        <v>0</v>
      </c>
      <c r="O30" s="3">
        <f t="shared" si="1"/>
        <v>32500</v>
      </c>
      <c r="P30" s="24"/>
      <c r="Q30" s="38"/>
      <c r="R30" s="38"/>
      <c r="S30" s="38"/>
      <c r="T30" s="38"/>
      <c r="U30" s="38"/>
      <c r="V30" s="26"/>
      <c r="W30" s="24"/>
      <c r="X30" s="38"/>
      <c r="Y30" s="38"/>
      <c r="Z30" s="38"/>
      <c r="AA30" s="38"/>
      <c r="AB30" s="38"/>
      <c r="AC30" s="26"/>
      <c r="AD30" s="24"/>
      <c r="AE30" s="38"/>
      <c r="AF30" s="38"/>
      <c r="AG30" s="38"/>
      <c r="AH30" s="38"/>
      <c r="AI30" s="38"/>
      <c r="AJ30" s="26"/>
      <c r="AK30" s="19"/>
      <c r="AL30" s="34"/>
      <c r="AM30" s="34">
        <v>32500</v>
      </c>
      <c r="AN30" s="34"/>
      <c r="AO30" s="34"/>
      <c r="AP30" s="34"/>
      <c r="AQ30" s="20"/>
      <c r="AR30" s="19"/>
      <c r="AS30" s="34"/>
      <c r="AT30" s="34"/>
      <c r="AU30" s="34"/>
      <c r="AV30" s="34"/>
      <c r="AW30" s="34"/>
      <c r="AX30" s="20"/>
      <c r="AY30" s="37"/>
      <c r="AZ30" s="34"/>
      <c r="BA30" s="34"/>
      <c r="BB30" s="34"/>
      <c r="BC30" s="34"/>
      <c r="BD30" s="20"/>
    </row>
    <row r="31" spans="1:56" x14ac:dyDescent="0.25">
      <c r="A31" s="2">
        <v>7692560</v>
      </c>
      <c r="B31" t="s">
        <v>30</v>
      </c>
      <c r="C31" s="2">
        <v>6012438113</v>
      </c>
      <c r="D31" s="5" t="s">
        <v>33</v>
      </c>
      <c r="E31" s="2">
        <v>12</v>
      </c>
      <c r="F31" s="30">
        <v>45437</v>
      </c>
      <c r="G31" s="30">
        <f>F31-K31</f>
        <v>45425</v>
      </c>
      <c r="H31" s="5" t="s">
        <v>13</v>
      </c>
      <c r="I31" s="16">
        <v>10</v>
      </c>
      <c r="J31" s="2">
        <v>2</v>
      </c>
      <c r="K31" s="2">
        <f t="shared" si="2"/>
        <v>12</v>
      </c>
      <c r="L31" s="2" t="s">
        <v>5</v>
      </c>
      <c r="M31" s="5" t="s">
        <v>6</v>
      </c>
      <c r="N31" s="3">
        <f t="shared" si="3"/>
        <v>0</v>
      </c>
      <c r="O31" s="3">
        <f t="shared" si="1"/>
        <v>60000</v>
      </c>
      <c r="P31" s="24"/>
      <c r="Q31" s="38"/>
      <c r="R31" s="38"/>
      <c r="S31" s="38"/>
      <c r="T31" s="38"/>
      <c r="U31" s="38"/>
      <c r="V31" s="26"/>
      <c r="W31" s="24"/>
      <c r="X31" s="38"/>
      <c r="Y31" s="38"/>
      <c r="Z31" s="38"/>
      <c r="AA31" s="38"/>
      <c r="AB31" s="38"/>
      <c r="AC31" s="26"/>
      <c r="AD31" s="24"/>
      <c r="AE31" s="38"/>
      <c r="AF31" s="38"/>
      <c r="AG31" s="38"/>
      <c r="AH31" s="38"/>
      <c r="AI31" s="38"/>
      <c r="AJ31" s="26"/>
      <c r="AK31" s="19">
        <v>60000</v>
      </c>
      <c r="AL31" s="34"/>
      <c r="AM31" s="34"/>
      <c r="AN31" s="34"/>
      <c r="AO31" s="34"/>
      <c r="AP31" s="34"/>
      <c r="AQ31" s="20"/>
      <c r="AR31" s="19"/>
      <c r="AS31" s="34"/>
      <c r="AT31" s="34"/>
      <c r="AU31" s="34"/>
      <c r="AV31" s="34"/>
      <c r="AW31" s="35"/>
      <c r="AX31" s="20"/>
      <c r="AY31" s="19"/>
      <c r="AZ31" s="34"/>
      <c r="BA31" s="34"/>
      <c r="BB31" s="34"/>
      <c r="BC31" s="34"/>
      <c r="BD31" s="20"/>
    </row>
    <row r="32" spans="1:56" x14ac:dyDescent="0.25">
      <c r="A32" s="2">
        <v>7692560</v>
      </c>
      <c r="B32" t="s">
        <v>64</v>
      </c>
      <c r="C32" s="2">
        <v>6012438064</v>
      </c>
      <c r="D32" s="5" t="s">
        <v>65</v>
      </c>
      <c r="E32" s="2">
        <v>12</v>
      </c>
      <c r="F32" s="30">
        <v>45424</v>
      </c>
      <c r="G32" s="30">
        <f>F32-K32</f>
        <v>45420</v>
      </c>
      <c r="H32" s="5" t="s">
        <v>13</v>
      </c>
      <c r="I32" s="16">
        <v>2</v>
      </c>
      <c r="J32" s="2">
        <v>2</v>
      </c>
      <c r="K32" s="2">
        <f t="shared" si="2"/>
        <v>4</v>
      </c>
      <c r="L32" s="2" t="s">
        <v>5</v>
      </c>
      <c r="M32" s="5" t="s">
        <v>6</v>
      </c>
      <c r="N32" s="3">
        <f t="shared" si="3"/>
        <v>100000</v>
      </c>
      <c r="O32" s="3">
        <f t="shared" si="1"/>
        <v>210000</v>
      </c>
      <c r="P32" s="24"/>
      <c r="Q32" s="38"/>
      <c r="R32" s="38"/>
      <c r="S32" s="38"/>
      <c r="T32" s="38"/>
      <c r="U32" s="38"/>
      <c r="V32" s="26"/>
      <c r="W32" s="24"/>
      <c r="X32" s="38"/>
      <c r="Y32" s="38"/>
      <c r="Z32" s="38"/>
      <c r="AA32" s="38"/>
      <c r="AB32" s="38"/>
      <c r="AC32" s="26"/>
      <c r="AD32" s="24"/>
      <c r="AE32" s="38"/>
      <c r="AF32" s="38">
        <v>100000</v>
      </c>
      <c r="AG32" s="38"/>
      <c r="AH32" s="38"/>
      <c r="AI32" s="38"/>
      <c r="AJ32" s="26"/>
      <c r="AK32" s="19"/>
      <c r="AL32" s="34"/>
      <c r="AM32" s="34"/>
      <c r="AN32" s="34"/>
      <c r="AO32" s="34">
        <v>110000</v>
      </c>
      <c r="AP32" s="35"/>
      <c r="AQ32" s="36"/>
      <c r="AR32" s="37"/>
      <c r="AS32" s="35"/>
      <c r="AT32" s="34"/>
      <c r="AU32" s="34"/>
      <c r="AV32" s="34"/>
      <c r="AW32" s="34"/>
      <c r="AX32" s="20"/>
      <c r="AY32" s="19"/>
      <c r="AZ32" s="34"/>
      <c r="BA32" s="34"/>
      <c r="BB32" s="34"/>
      <c r="BC32" s="34"/>
      <c r="BD32" s="20"/>
    </row>
    <row r="33" spans="1:56" x14ac:dyDescent="0.25">
      <c r="A33" s="2">
        <v>7600125</v>
      </c>
      <c r="B33" t="s">
        <v>66</v>
      </c>
      <c r="C33" s="2">
        <v>6012447243</v>
      </c>
      <c r="D33" s="5" t="s">
        <v>24</v>
      </c>
      <c r="E33" s="2">
        <v>6</v>
      </c>
      <c r="F33" s="30">
        <v>45437</v>
      </c>
      <c r="G33" s="30">
        <f>F33-K33</f>
        <v>45431</v>
      </c>
      <c r="H33" s="5" t="s">
        <v>97</v>
      </c>
      <c r="I33" s="16">
        <v>4</v>
      </c>
      <c r="J33" s="2">
        <v>2</v>
      </c>
      <c r="K33" s="2">
        <f t="shared" si="2"/>
        <v>6</v>
      </c>
      <c r="L33" s="2" t="s">
        <v>5</v>
      </c>
      <c r="M33" s="5" t="s">
        <v>6</v>
      </c>
      <c r="N33" s="3">
        <f t="shared" si="3"/>
        <v>0</v>
      </c>
      <c r="O33" s="3">
        <f t="shared" si="1"/>
        <v>20000</v>
      </c>
      <c r="P33" s="24"/>
      <c r="Q33" s="38"/>
      <c r="R33" s="38"/>
      <c r="S33" s="38"/>
      <c r="T33" s="38"/>
      <c r="U33" s="38"/>
      <c r="V33" s="26"/>
      <c r="W33" s="24"/>
      <c r="X33" s="38"/>
      <c r="Y33" s="38"/>
      <c r="Z33" s="38"/>
      <c r="AA33" s="38"/>
      <c r="AB33" s="38"/>
      <c r="AC33" s="26"/>
      <c r="AD33" s="24"/>
      <c r="AE33" s="38"/>
      <c r="AF33" s="38"/>
      <c r="AG33" s="38"/>
      <c r="AH33" s="38"/>
      <c r="AI33" s="38"/>
      <c r="AJ33" s="26"/>
      <c r="AK33" s="19"/>
      <c r="AL33" s="34"/>
      <c r="AM33" s="34"/>
      <c r="AN33" s="34"/>
      <c r="AO33" s="34"/>
      <c r="AP33" s="34"/>
      <c r="AQ33" s="20">
        <v>20000</v>
      </c>
      <c r="AR33" s="19"/>
      <c r="AS33" s="34"/>
      <c r="AT33" s="34"/>
      <c r="AU33" s="34"/>
      <c r="AV33" s="34"/>
      <c r="AW33" s="35"/>
      <c r="AX33" s="20"/>
      <c r="AY33" s="19"/>
      <c r="AZ33" s="34"/>
      <c r="BA33" s="34"/>
      <c r="BB33" s="34"/>
      <c r="BC33" s="34"/>
      <c r="BD33" s="20"/>
    </row>
    <row r="34" spans="1:56" x14ac:dyDescent="0.25">
      <c r="A34" s="2">
        <v>7600154</v>
      </c>
      <c r="B34" t="s">
        <v>83</v>
      </c>
      <c r="C34" s="2">
        <v>6012447780</v>
      </c>
      <c r="D34" s="5" t="s">
        <v>67</v>
      </c>
      <c r="E34" s="2">
        <v>12</v>
      </c>
      <c r="F34" s="30">
        <v>45433</v>
      </c>
      <c r="G34" s="30">
        <f>F34-K34</f>
        <v>45427</v>
      </c>
      <c r="H34" s="5" t="s">
        <v>97</v>
      </c>
      <c r="I34" s="16">
        <v>4</v>
      </c>
      <c r="J34" s="2">
        <v>2</v>
      </c>
      <c r="K34" s="2">
        <f t="shared" si="2"/>
        <v>6</v>
      </c>
      <c r="L34" s="2" t="s">
        <v>5</v>
      </c>
      <c r="M34" s="5" t="s">
        <v>6</v>
      </c>
      <c r="N34" s="3">
        <f t="shared" si="3"/>
        <v>0</v>
      </c>
      <c r="O34" s="3">
        <f t="shared" si="1"/>
        <v>125000</v>
      </c>
      <c r="P34" s="24"/>
      <c r="Q34" s="38"/>
      <c r="R34" s="38"/>
      <c r="S34" s="38"/>
      <c r="T34" s="38"/>
      <c r="U34" s="38"/>
      <c r="V34" s="26"/>
      <c r="W34" s="24"/>
      <c r="X34" s="38"/>
      <c r="Y34" s="38"/>
      <c r="Z34" s="38"/>
      <c r="AA34" s="38"/>
      <c r="AB34" s="38"/>
      <c r="AC34" s="26"/>
      <c r="AD34" s="24"/>
      <c r="AE34" s="38"/>
      <c r="AF34" s="38"/>
      <c r="AG34" s="38"/>
      <c r="AH34" s="38"/>
      <c r="AI34" s="38"/>
      <c r="AJ34" s="26"/>
      <c r="AK34" s="19"/>
      <c r="AL34" s="34"/>
      <c r="AM34" s="34">
        <v>75000</v>
      </c>
      <c r="AN34" s="34"/>
      <c r="AO34" s="34"/>
      <c r="AP34" s="34"/>
      <c r="AQ34" s="20"/>
      <c r="AR34" s="19"/>
      <c r="AS34" s="34">
        <v>50000</v>
      </c>
      <c r="AT34" s="35"/>
      <c r="AU34" s="35"/>
      <c r="AV34" s="35"/>
      <c r="AW34" s="35"/>
      <c r="AX34" s="36"/>
      <c r="AY34" s="37"/>
      <c r="AZ34" s="34"/>
      <c r="BA34" s="34"/>
      <c r="BB34" s="34"/>
      <c r="BC34" s="34"/>
      <c r="BD34" s="20"/>
    </row>
    <row r="35" spans="1:56" x14ac:dyDescent="0.25">
      <c r="A35" s="2">
        <v>7600154</v>
      </c>
      <c r="B35" t="s">
        <v>68</v>
      </c>
      <c r="C35" s="2">
        <v>6012447918</v>
      </c>
      <c r="D35" s="5" t="s">
        <v>67</v>
      </c>
      <c r="E35" s="2">
        <v>12</v>
      </c>
      <c r="F35" s="30">
        <v>45443</v>
      </c>
      <c r="G35" s="30">
        <f>F35-K35</f>
        <v>45437</v>
      </c>
      <c r="H35" s="5" t="s">
        <v>97</v>
      </c>
      <c r="I35" s="16">
        <v>4</v>
      </c>
      <c r="J35" s="2">
        <v>2</v>
      </c>
      <c r="K35" s="2">
        <f t="shared" si="2"/>
        <v>6</v>
      </c>
      <c r="L35" s="2" t="s">
        <v>5</v>
      </c>
      <c r="M35" s="5" t="s">
        <v>6</v>
      </c>
      <c r="N35" s="3">
        <f t="shared" si="3"/>
        <v>0</v>
      </c>
      <c r="O35" s="3">
        <f t="shared" si="1"/>
        <v>50000</v>
      </c>
      <c r="P35" s="24"/>
      <c r="Q35" s="38"/>
      <c r="R35" s="38"/>
      <c r="S35" s="38"/>
      <c r="T35" s="38"/>
      <c r="U35" s="38"/>
      <c r="V35" s="26"/>
      <c r="W35" s="24"/>
      <c r="X35" s="38"/>
      <c r="Y35" s="38"/>
      <c r="Z35" s="38"/>
      <c r="AA35" s="38"/>
      <c r="AB35" s="38"/>
      <c r="AC35" s="26"/>
      <c r="AD35" s="24"/>
      <c r="AE35" s="38"/>
      <c r="AF35" s="38"/>
      <c r="AG35" s="38"/>
      <c r="AH35" s="38"/>
      <c r="AI35" s="38"/>
      <c r="AJ35" s="26"/>
      <c r="AK35" s="19"/>
      <c r="AL35" s="34"/>
      <c r="AM35" s="34"/>
      <c r="AN35" s="34"/>
      <c r="AO35" s="34"/>
      <c r="AP35" s="34"/>
      <c r="AQ35" s="20"/>
      <c r="AR35" s="19"/>
      <c r="AS35" s="34"/>
      <c r="AT35" s="34"/>
      <c r="AU35" s="34"/>
      <c r="AV35" s="34"/>
      <c r="AW35" s="34">
        <v>50000</v>
      </c>
      <c r="AX35" s="20"/>
      <c r="AY35" s="19"/>
      <c r="AZ35" s="34"/>
      <c r="BA35" s="34"/>
      <c r="BB35" s="34"/>
      <c r="BC35" s="35"/>
      <c r="BD35" s="20"/>
    </row>
    <row r="36" spans="1:56" x14ac:dyDescent="0.25">
      <c r="A36" s="2">
        <v>7600154</v>
      </c>
      <c r="B36" t="s">
        <v>69</v>
      </c>
      <c r="C36" s="2">
        <v>6012448022</v>
      </c>
      <c r="D36" s="5" t="s">
        <v>18</v>
      </c>
      <c r="E36" s="2">
        <v>12</v>
      </c>
      <c r="F36" s="30">
        <v>45432</v>
      </c>
      <c r="G36" s="30">
        <f>F36-K36</f>
        <v>45426</v>
      </c>
      <c r="H36" s="5" t="s">
        <v>97</v>
      </c>
      <c r="I36" s="16">
        <v>4</v>
      </c>
      <c r="J36" s="2">
        <v>2</v>
      </c>
      <c r="K36" s="2">
        <f t="shared" si="2"/>
        <v>6</v>
      </c>
      <c r="L36" s="2" t="s">
        <v>5</v>
      </c>
      <c r="M36" s="5" t="s">
        <v>6</v>
      </c>
      <c r="N36" s="3">
        <f t="shared" si="3"/>
        <v>0</v>
      </c>
      <c r="O36" s="3">
        <f t="shared" si="1"/>
        <v>80000</v>
      </c>
      <c r="P36" s="24"/>
      <c r="Q36" s="38"/>
      <c r="R36" s="38"/>
      <c r="S36" s="38"/>
      <c r="T36" s="38"/>
      <c r="U36" s="38"/>
      <c r="V36" s="26"/>
      <c r="W36" s="24"/>
      <c r="X36" s="38"/>
      <c r="Y36" s="38"/>
      <c r="Z36" s="38"/>
      <c r="AA36" s="38"/>
      <c r="AB36" s="38"/>
      <c r="AC36" s="26"/>
      <c r="AD36" s="24"/>
      <c r="AE36" s="38"/>
      <c r="AF36" s="38"/>
      <c r="AG36" s="38"/>
      <c r="AH36" s="38"/>
      <c r="AI36" s="38"/>
      <c r="AJ36" s="26"/>
      <c r="AK36" s="19"/>
      <c r="AL36" s="34">
        <v>80000</v>
      </c>
      <c r="AM36" s="34"/>
      <c r="AN36" s="34"/>
      <c r="AO36" s="34"/>
      <c r="AP36" s="34"/>
      <c r="AQ36" s="20"/>
      <c r="AR36" s="37"/>
      <c r="AS36" s="34"/>
      <c r="AT36" s="34"/>
      <c r="AU36" s="34"/>
      <c r="AV36" s="34"/>
      <c r="AW36" s="34"/>
      <c r="AX36" s="20"/>
      <c r="AY36" s="19"/>
      <c r="AZ36" s="34"/>
      <c r="BA36" s="34"/>
      <c r="BB36" s="34"/>
      <c r="BC36" s="34"/>
      <c r="BD36" s="20"/>
    </row>
    <row r="37" spans="1:56" x14ac:dyDescent="0.25">
      <c r="A37" s="2">
        <v>7600154</v>
      </c>
      <c r="B37" t="s">
        <v>69</v>
      </c>
      <c r="C37" s="2">
        <v>6012448025</v>
      </c>
      <c r="D37" s="5" t="s">
        <v>18</v>
      </c>
      <c r="E37" s="2">
        <v>12</v>
      </c>
      <c r="F37" s="30">
        <v>45427</v>
      </c>
      <c r="G37" s="30">
        <f>F37-K37</f>
        <v>45421</v>
      </c>
      <c r="H37" s="5" t="s">
        <v>97</v>
      </c>
      <c r="I37" s="16">
        <v>4</v>
      </c>
      <c r="J37" s="2">
        <v>2</v>
      </c>
      <c r="K37" s="2">
        <f t="shared" si="2"/>
        <v>6</v>
      </c>
      <c r="L37" s="2" t="s">
        <v>5</v>
      </c>
      <c r="M37" s="5" t="s">
        <v>6</v>
      </c>
      <c r="N37" s="3">
        <f t="shared" si="3"/>
        <v>70000</v>
      </c>
      <c r="O37" s="3">
        <f t="shared" si="1"/>
        <v>150000</v>
      </c>
      <c r="P37" s="24"/>
      <c r="Q37" s="38"/>
      <c r="R37" s="38"/>
      <c r="S37" s="38"/>
      <c r="T37" s="38"/>
      <c r="U37" s="38"/>
      <c r="V37" s="26"/>
      <c r="W37" s="24"/>
      <c r="X37" s="38"/>
      <c r="Y37" s="38"/>
      <c r="Z37" s="38"/>
      <c r="AA37" s="38"/>
      <c r="AB37" s="38"/>
      <c r="AC37" s="26"/>
      <c r="AD37" s="24"/>
      <c r="AE37" s="38"/>
      <c r="AF37" s="38"/>
      <c r="AG37" s="38">
        <v>70000</v>
      </c>
      <c r="AH37" s="38"/>
      <c r="AI37" s="38"/>
      <c r="AJ37" s="26"/>
      <c r="AK37" s="19"/>
      <c r="AL37" s="34"/>
      <c r="AM37" s="34"/>
      <c r="AN37" s="34"/>
      <c r="AO37" s="34"/>
      <c r="AP37" s="34"/>
      <c r="AQ37" s="20"/>
      <c r="AR37" s="19">
        <v>80000</v>
      </c>
      <c r="AS37" s="35"/>
      <c r="AT37" s="35"/>
      <c r="AU37" s="35"/>
      <c r="AV37" s="35"/>
      <c r="AW37" s="35"/>
      <c r="AX37" s="36"/>
      <c r="AY37" s="19"/>
      <c r="AZ37" s="34"/>
      <c r="BA37" s="34"/>
      <c r="BB37" s="34"/>
      <c r="BC37" s="34"/>
      <c r="BD37" s="20"/>
    </row>
    <row r="38" spans="1:56" x14ac:dyDescent="0.25">
      <c r="A38" s="2">
        <v>7600154</v>
      </c>
      <c r="B38" t="s">
        <v>70</v>
      </c>
      <c r="C38" s="2">
        <v>6012448026</v>
      </c>
      <c r="D38" s="5" t="s">
        <v>18</v>
      </c>
      <c r="E38" s="2">
        <v>12</v>
      </c>
      <c r="F38" s="30">
        <v>45432</v>
      </c>
      <c r="G38" s="30">
        <f>F38-K38</f>
        <v>45426</v>
      </c>
      <c r="H38" s="5" t="s">
        <v>97</v>
      </c>
      <c r="I38" s="16">
        <v>4</v>
      </c>
      <c r="J38" s="2">
        <v>2</v>
      </c>
      <c r="K38" s="2">
        <f t="shared" si="2"/>
        <v>6</v>
      </c>
      <c r="L38" s="2" t="s">
        <v>5</v>
      </c>
      <c r="M38" s="5" t="s">
        <v>6</v>
      </c>
      <c r="N38" s="3">
        <f t="shared" si="3"/>
        <v>0</v>
      </c>
      <c r="O38" s="3">
        <f t="shared" si="1"/>
        <v>80000</v>
      </c>
      <c r="P38" s="24"/>
      <c r="Q38" s="38"/>
      <c r="R38" s="38"/>
      <c r="S38" s="38"/>
      <c r="T38" s="38"/>
      <c r="U38" s="38"/>
      <c r="V38" s="26"/>
      <c r="W38" s="24"/>
      <c r="X38" s="38"/>
      <c r="Y38" s="38"/>
      <c r="Z38" s="38"/>
      <c r="AA38" s="38"/>
      <c r="AB38" s="38"/>
      <c r="AC38" s="26"/>
      <c r="AD38" s="24"/>
      <c r="AE38" s="38"/>
      <c r="AF38" s="38"/>
      <c r="AG38" s="38"/>
      <c r="AH38" s="38"/>
      <c r="AI38" s="38"/>
      <c r="AJ38" s="26"/>
      <c r="AK38" s="19"/>
      <c r="AL38" s="34">
        <v>80000</v>
      </c>
      <c r="AM38" s="34"/>
      <c r="AN38" s="34"/>
      <c r="AO38" s="34"/>
      <c r="AP38" s="34"/>
      <c r="AQ38" s="20"/>
      <c r="AR38" s="37"/>
      <c r="AS38" s="34"/>
      <c r="AT38" s="34"/>
      <c r="AU38" s="34"/>
      <c r="AV38" s="34"/>
      <c r="AW38" s="34"/>
      <c r="AX38" s="20"/>
      <c r="AY38" s="19"/>
      <c r="AZ38" s="34"/>
      <c r="BA38" s="34"/>
      <c r="BB38" s="34"/>
      <c r="BC38" s="34"/>
      <c r="BD38" s="20"/>
    </row>
    <row r="39" spans="1:56" x14ac:dyDescent="0.25">
      <c r="A39" s="2">
        <v>7600154</v>
      </c>
      <c r="B39" t="s">
        <v>70</v>
      </c>
      <c r="C39" s="2">
        <v>6012448028</v>
      </c>
      <c r="D39" s="5" t="s">
        <v>18</v>
      </c>
      <c r="E39" s="2">
        <v>12</v>
      </c>
      <c r="F39" s="30">
        <v>45427</v>
      </c>
      <c r="G39" s="30">
        <f>F39-K39</f>
        <v>45421</v>
      </c>
      <c r="H39" s="5" t="s">
        <v>97</v>
      </c>
      <c r="I39" s="16">
        <v>4</v>
      </c>
      <c r="J39" s="2">
        <v>2</v>
      </c>
      <c r="K39" s="2">
        <f t="shared" si="2"/>
        <v>6</v>
      </c>
      <c r="L39" s="2" t="s">
        <v>5</v>
      </c>
      <c r="M39" s="5" t="s">
        <v>6</v>
      </c>
      <c r="N39" s="3">
        <f t="shared" si="3"/>
        <v>60000</v>
      </c>
      <c r="O39" s="3">
        <f t="shared" si="1"/>
        <v>140000</v>
      </c>
      <c r="P39" s="24"/>
      <c r="Q39" s="38"/>
      <c r="R39" s="38"/>
      <c r="S39" s="38"/>
      <c r="T39" s="38"/>
      <c r="U39" s="38"/>
      <c r="V39" s="26"/>
      <c r="W39" s="24"/>
      <c r="X39" s="38"/>
      <c r="Y39" s="38"/>
      <c r="Z39" s="38"/>
      <c r="AA39" s="38"/>
      <c r="AB39" s="38"/>
      <c r="AC39" s="26"/>
      <c r="AD39" s="24"/>
      <c r="AE39" s="38"/>
      <c r="AF39" s="38"/>
      <c r="AG39" s="38">
        <v>60000</v>
      </c>
      <c r="AH39" s="38"/>
      <c r="AI39" s="38"/>
      <c r="AJ39" s="26"/>
      <c r="AK39" s="19"/>
      <c r="AL39" s="34"/>
      <c r="AM39" s="34"/>
      <c r="AN39" s="34"/>
      <c r="AO39" s="34"/>
      <c r="AP39" s="34"/>
      <c r="AQ39" s="20"/>
      <c r="AR39" s="19">
        <v>80000</v>
      </c>
      <c r="AS39" s="35"/>
      <c r="AT39" s="35"/>
      <c r="AU39" s="35"/>
      <c r="AV39" s="35"/>
      <c r="AW39" s="35"/>
      <c r="AX39" s="36"/>
      <c r="AY39" s="19"/>
      <c r="AZ39" s="34"/>
      <c r="BA39" s="34"/>
      <c r="BB39" s="34"/>
      <c r="BC39" s="34"/>
      <c r="BD39" s="20"/>
    </row>
    <row r="40" spans="1:56" x14ac:dyDescent="0.25">
      <c r="A40" s="2">
        <v>7692588</v>
      </c>
      <c r="B40" t="s">
        <v>32</v>
      </c>
      <c r="C40" s="2">
        <v>6012437883</v>
      </c>
      <c r="D40" s="5" t="s">
        <v>31</v>
      </c>
      <c r="E40" s="2">
        <v>9</v>
      </c>
      <c r="F40" s="30">
        <v>45439</v>
      </c>
      <c r="G40" s="30">
        <f>F40-K40</f>
        <v>45427</v>
      </c>
      <c r="H40" s="5" t="s">
        <v>13</v>
      </c>
      <c r="I40" s="16">
        <v>10</v>
      </c>
      <c r="J40" s="2">
        <v>2</v>
      </c>
      <c r="K40" s="2">
        <f t="shared" si="2"/>
        <v>12</v>
      </c>
      <c r="L40" s="2" t="s">
        <v>5</v>
      </c>
      <c r="M40" s="5" t="s">
        <v>6</v>
      </c>
      <c r="N40" s="3">
        <f t="shared" si="3"/>
        <v>0</v>
      </c>
      <c r="O40" s="3">
        <f t="shared" si="1"/>
        <v>13750</v>
      </c>
      <c r="P40" s="24"/>
      <c r="Q40" s="38"/>
      <c r="R40" s="38"/>
      <c r="S40" s="38"/>
      <c r="T40" s="38"/>
      <c r="U40" s="38"/>
      <c r="V40" s="26"/>
      <c r="W40" s="24"/>
      <c r="X40" s="38"/>
      <c r="Y40" s="38"/>
      <c r="Z40" s="38"/>
      <c r="AA40" s="38"/>
      <c r="AB40" s="38"/>
      <c r="AC40" s="26"/>
      <c r="AD40" s="24"/>
      <c r="AE40" s="38"/>
      <c r="AF40" s="38"/>
      <c r="AG40" s="38"/>
      <c r="AH40" s="38"/>
      <c r="AI40" s="38"/>
      <c r="AJ40" s="26"/>
      <c r="AK40" s="19"/>
      <c r="AL40" s="34"/>
      <c r="AM40" s="34">
        <v>13750</v>
      </c>
      <c r="AN40" s="34"/>
      <c r="AO40" s="34"/>
      <c r="AP40" s="34"/>
      <c r="AQ40" s="20"/>
      <c r="AR40" s="19"/>
      <c r="AS40" s="34"/>
      <c r="AT40" s="34"/>
      <c r="AU40" s="34"/>
      <c r="AV40" s="34"/>
      <c r="AW40" s="34"/>
      <c r="AX40" s="20"/>
      <c r="AY40" s="37"/>
      <c r="AZ40" s="34"/>
      <c r="BA40" s="34"/>
      <c r="BB40" s="34"/>
      <c r="BC40" s="34"/>
      <c r="BD40" s="20"/>
    </row>
    <row r="41" spans="1:56" x14ac:dyDescent="0.25">
      <c r="A41" s="2">
        <v>7692793</v>
      </c>
      <c r="B41" t="s">
        <v>71</v>
      </c>
      <c r="C41" s="2">
        <v>6012446344</v>
      </c>
      <c r="D41" s="5" t="s">
        <v>72</v>
      </c>
      <c r="E41" s="2">
        <v>9</v>
      </c>
      <c r="F41" s="30">
        <v>45425</v>
      </c>
      <c r="G41" s="30">
        <f>F41-K41</f>
        <v>45421</v>
      </c>
      <c r="H41" s="5" t="s">
        <v>96</v>
      </c>
      <c r="I41" s="16">
        <v>2</v>
      </c>
      <c r="J41" s="2">
        <v>2</v>
      </c>
      <c r="K41" s="2">
        <f t="shared" si="2"/>
        <v>4</v>
      </c>
      <c r="L41" s="2" t="s">
        <v>5</v>
      </c>
      <c r="M41" s="5" t="s">
        <v>6</v>
      </c>
      <c r="N41" s="3">
        <f t="shared" si="3"/>
        <v>82500</v>
      </c>
      <c r="O41" s="3">
        <f t="shared" si="1"/>
        <v>165000</v>
      </c>
      <c r="P41" s="24"/>
      <c r="Q41" s="38"/>
      <c r="R41" s="38"/>
      <c r="S41" s="38"/>
      <c r="T41" s="38"/>
      <c r="U41" s="38"/>
      <c r="V41" s="26"/>
      <c r="W41" s="24"/>
      <c r="X41" s="38"/>
      <c r="Y41" s="38"/>
      <c r="Z41" s="38"/>
      <c r="AA41" s="38"/>
      <c r="AB41" s="38"/>
      <c r="AC41" s="26"/>
      <c r="AD41" s="24"/>
      <c r="AE41" s="38"/>
      <c r="AF41" s="38"/>
      <c r="AG41" s="38">
        <v>82500</v>
      </c>
      <c r="AH41" s="38"/>
      <c r="AI41" s="38"/>
      <c r="AJ41" s="26"/>
      <c r="AK41" s="19"/>
      <c r="AL41" s="34"/>
      <c r="AM41" s="34"/>
      <c r="AN41" s="34"/>
      <c r="AO41" s="34">
        <v>82500</v>
      </c>
      <c r="AP41" s="35"/>
      <c r="AQ41" s="36"/>
      <c r="AR41" s="37"/>
      <c r="AS41" s="35"/>
      <c r="AT41" s="34"/>
      <c r="AU41" s="34"/>
      <c r="AV41" s="34"/>
      <c r="AW41" s="34"/>
      <c r="AX41" s="20"/>
      <c r="AY41" s="19"/>
      <c r="AZ41" s="34"/>
      <c r="BA41" s="34"/>
      <c r="BB41" s="34"/>
      <c r="BC41" s="34"/>
      <c r="BD41" s="20"/>
    </row>
    <row r="42" spans="1:56" x14ac:dyDescent="0.25">
      <c r="A42" s="2">
        <v>7692793</v>
      </c>
      <c r="B42" t="s">
        <v>71</v>
      </c>
      <c r="C42" s="2">
        <v>6012448266</v>
      </c>
      <c r="D42" s="5" t="s">
        <v>72</v>
      </c>
      <c r="E42" s="2">
        <v>9</v>
      </c>
      <c r="F42" s="30">
        <v>45430</v>
      </c>
      <c r="G42" s="30">
        <f>F42-K42</f>
        <v>45426</v>
      </c>
      <c r="H42" s="5" t="s">
        <v>96</v>
      </c>
      <c r="I42" s="16">
        <v>2</v>
      </c>
      <c r="J42" s="2">
        <v>2</v>
      </c>
      <c r="K42" s="2">
        <f t="shared" si="2"/>
        <v>4</v>
      </c>
      <c r="L42" s="2" t="s">
        <v>5</v>
      </c>
      <c r="M42" s="5" t="s">
        <v>6</v>
      </c>
      <c r="N42" s="3">
        <f t="shared" si="3"/>
        <v>0</v>
      </c>
      <c r="O42" s="3">
        <f t="shared" si="1"/>
        <v>165000</v>
      </c>
      <c r="P42" s="24"/>
      <c r="Q42" s="38"/>
      <c r="R42" s="38"/>
      <c r="S42" s="38"/>
      <c r="T42" s="38"/>
      <c r="U42" s="38"/>
      <c r="V42" s="26"/>
      <c r="W42" s="24"/>
      <c r="X42" s="38"/>
      <c r="Y42" s="38"/>
      <c r="Z42" s="38"/>
      <c r="AA42" s="38"/>
      <c r="AB42" s="38"/>
      <c r="AC42" s="26"/>
      <c r="AD42" s="24"/>
      <c r="AE42" s="38"/>
      <c r="AF42" s="38"/>
      <c r="AG42" s="38"/>
      <c r="AH42" s="38"/>
      <c r="AI42" s="38"/>
      <c r="AJ42" s="26"/>
      <c r="AK42" s="19"/>
      <c r="AL42" s="34">
        <v>82500</v>
      </c>
      <c r="AM42" s="34"/>
      <c r="AN42" s="34"/>
      <c r="AO42" s="34"/>
      <c r="AP42" s="34"/>
      <c r="AQ42" s="20"/>
      <c r="AR42" s="19"/>
      <c r="AS42" s="34">
        <v>82500</v>
      </c>
      <c r="AT42" s="35"/>
      <c r="AU42" s="35"/>
      <c r="AV42" s="35"/>
      <c r="AW42" s="35"/>
      <c r="AX42" s="20"/>
      <c r="AY42" s="19"/>
      <c r="AZ42" s="34"/>
      <c r="BA42" s="34"/>
      <c r="BB42" s="34"/>
      <c r="BC42" s="34"/>
      <c r="BD42" s="20"/>
    </row>
    <row r="43" spans="1:56" x14ac:dyDescent="0.25">
      <c r="A43" s="2">
        <v>7692795</v>
      </c>
      <c r="B43" t="s">
        <v>37</v>
      </c>
      <c r="C43" s="2">
        <v>6012448269</v>
      </c>
      <c r="D43" s="5" t="s">
        <v>34</v>
      </c>
      <c r="E43" s="2">
        <v>9</v>
      </c>
      <c r="F43" s="30">
        <v>45425</v>
      </c>
      <c r="G43" s="30">
        <f>F43-K43</f>
        <v>45421</v>
      </c>
      <c r="H43" s="5" t="s">
        <v>96</v>
      </c>
      <c r="I43" s="16">
        <v>2</v>
      </c>
      <c r="J43" s="2">
        <v>2</v>
      </c>
      <c r="K43" s="2">
        <f t="shared" si="2"/>
        <v>4</v>
      </c>
      <c r="L43" s="2" t="s">
        <v>5</v>
      </c>
      <c r="M43" s="5" t="s">
        <v>6</v>
      </c>
      <c r="N43" s="3">
        <f t="shared" si="3"/>
        <v>55000</v>
      </c>
      <c r="O43" s="3">
        <f t="shared" si="1"/>
        <v>137500</v>
      </c>
      <c r="P43" s="24"/>
      <c r="Q43" s="38"/>
      <c r="R43" s="38"/>
      <c r="S43" s="38"/>
      <c r="T43" s="38"/>
      <c r="U43" s="38"/>
      <c r="V43" s="26"/>
      <c r="W43" s="24"/>
      <c r="X43" s="38"/>
      <c r="Y43" s="38"/>
      <c r="Z43" s="38"/>
      <c r="AA43" s="38"/>
      <c r="AB43" s="38"/>
      <c r="AC43" s="26"/>
      <c r="AD43" s="24"/>
      <c r="AE43" s="38"/>
      <c r="AF43" s="38"/>
      <c r="AG43" s="38">
        <v>55000</v>
      </c>
      <c r="AH43" s="38"/>
      <c r="AI43" s="38"/>
      <c r="AJ43" s="26"/>
      <c r="AK43" s="19"/>
      <c r="AL43" s="34"/>
      <c r="AM43" s="34"/>
      <c r="AN43" s="34"/>
      <c r="AO43" s="34">
        <v>82500</v>
      </c>
      <c r="AP43" s="35"/>
      <c r="AQ43" s="36"/>
      <c r="AR43" s="37"/>
      <c r="AS43" s="35"/>
      <c r="AT43" s="34"/>
      <c r="AU43" s="34"/>
      <c r="AV43" s="34"/>
      <c r="AW43" s="34"/>
      <c r="AX43" s="20"/>
      <c r="AY43" s="19"/>
      <c r="AZ43" s="34"/>
      <c r="BA43" s="34"/>
      <c r="BB43" s="34"/>
      <c r="BC43" s="34"/>
      <c r="BD43" s="20"/>
    </row>
    <row r="44" spans="1:56" x14ac:dyDescent="0.25">
      <c r="A44" s="2">
        <v>7692795</v>
      </c>
      <c r="B44" t="s">
        <v>37</v>
      </c>
      <c r="C44" s="2">
        <v>6012448270</v>
      </c>
      <c r="D44" s="5" t="s">
        <v>34</v>
      </c>
      <c r="E44" s="2">
        <v>9</v>
      </c>
      <c r="F44" s="30">
        <v>45429</v>
      </c>
      <c r="G44" s="30">
        <f>F44-K44</f>
        <v>45425</v>
      </c>
      <c r="H44" s="5" t="s">
        <v>96</v>
      </c>
      <c r="I44" s="16">
        <v>2</v>
      </c>
      <c r="J44" s="2">
        <v>2</v>
      </c>
      <c r="K44" s="2">
        <f t="shared" si="2"/>
        <v>4</v>
      </c>
      <c r="L44" s="2" t="s">
        <v>5</v>
      </c>
      <c r="M44" s="5" t="s">
        <v>6</v>
      </c>
      <c r="N44" s="3">
        <f t="shared" si="3"/>
        <v>0</v>
      </c>
      <c r="O44" s="3">
        <f t="shared" si="1"/>
        <v>137500</v>
      </c>
      <c r="P44" s="24"/>
      <c r="Q44" s="38"/>
      <c r="R44" s="38"/>
      <c r="S44" s="38"/>
      <c r="T44" s="38"/>
      <c r="U44" s="38"/>
      <c r="V44" s="26"/>
      <c r="W44" s="24"/>
      <c r="X44" s="38"/>
      <c r="Y44" s="38"/>
      <c r="Z44" s="38"/>
      <c r="AA44" s="38"/>
      <c r="AB44" s="38"/>
      <c r="AC44" s="26"/>
      <c r="AD44" s="24"/>
      <c r="AE44" s="38"/>
      <c r="AF44" s="38"/>
      <c r="AG44" s="38"/>
      <c r="AH44" s="38"/>
      <c r="AI44" s="38"/>
      <c r="AJ44" s="26"/>
      <c r="AK44" s="19">
        <v>55000</v>
      </c>
      <c r="AL44" s="34"/>
      <c r="AM44" s="34"/>
      <c r="AN44" s="34"/>
      <c r="AO44" s="34"/>
      <c r="AP44" s="34"/>
      <c r="AQ44" s="20"/>
      <c r="AR44" s="19"/>
      <c r="AS44" s="34">
        <v>82500</v>
      </c>
      <c r="AT44" s="35"/>
      <c r="AU44" s="35"/>
      <c r="AV44" s="35"/>
      <c r="AW44" s="35"/>
      <c r="AX44" s="20"/>
      <c r="AY44" s="19"/>
      <c r="AZ44" s="34"/>
      <c r="BA44" s="34"/>
      <c r="BB44" s="34"/>
      <c r="BC44" s="34"/>
      <c r="BD44" s="20"/>
    </row>
    <row r="45" spans="1:56" x14ac:dyDescent="0.25">
      <c r="A45" s="2">
        <v>7692795</v>
      </c>
      <c r="B45" s="5" t="s">
        <v>84</v>
      </c>
      <c r="C45" s="2">
        <v>6012448265</v>
      </c>
      <c r="D45" s="5" t="s">
        <v>39</v>
      </c>
      <c r="E45" s="2">
        <v>9</v>
      </c>
      <c r="F45" s="30">
        <v>45427</v>
      </c>
      <c r="G45" s="30">
        <f>F45-K45</f>
        <v>45423</v>
      </c>
      <c r="H45" s="5" t="s">
        <v>96</v>
      </c>
      <c r="I45" s="16">
        <v>2</v>
      </c>
      <c r="J45" s="2">
        <v>2</v>
      </c>
      <c r="K45" s="2">
        <f t="shared" si="2"/>
        <v>4</v>
      </c>
      <c r="L45" s="2" t="s">
        <v>5</v>
      </c>
      <c r="M45" s="5" t="s">
        <v>6</v>
      </c>
      <c r="N45" s="3">
        <f t="shared" si="3"/>
        <v>55000</v>
      </c>
      <c r="O45" s="3">
        <f t="shared" si="1"/>
        <v>165000</v>
      </c>
      <c r="P45" s="24"/>
      <c r="Q45" s="38"/>
      <c r="R45" s="38"/>
      <c r="S45" s="38"/>
      <c r="T45" s="38"/>
      <c r="U45" s="38"/>
      <c r="V45" s="26"/>
      <c r="W45" s="24"/>
      <c r="X45" s="38"/>
      <c r="Y45" s="38"/>
      <c r="Z45" s="38"/>
      <c r="AA45" s="38"/>
      <c r="AB45" s="38"/>
      <c r="AC45" s="26"/>
      <c r="AD45" s="24"/>
      <c r="AE45" s="38"/>
      <c r="AF45" s="38"/>
      <c r="AG45" s="38"/>
      <c r="AH45" s="38"/>
      <c r="AI45" s="38">
        <v>55000</v>
      </c>
      <c r="AJ45" s="26"/>
      <c r="AK45" s="19"/>
      <c r="AL45" s="34"/>
      <c r="AM45" s="34">
        <v>55000</v>
      </c>
      <c r="AN45" s="34"/>
      <c r="AO45" s="34"/>
      <c r="AP45" s="34"/>
      <c r="AQ45" s="20"/>
      <c r="AR45" s="19"/>
      <c r="AS45" s="34">
        <v>55000</v>
      </c>
      <c r="AT45" s="35"/>
      <c r="AU45" s="35"/>
      <c r="AV45" s="35"/>
      <c r="AW45" s="35"/>
      <c r="AX45" s="20"/>
      <c r="AY45" s="19"/>
      <c r="AZ45" s="34"/>
      <c r="BA45" s="34"/>
      <c r="BB45" s="34"/>
      <c r="BC45" s="34"/>
      <c r="BD45" s="20"/>
    </row>
    <row r="46" spans="1:56" x14ac:dyDescent="0.25">
      <c r="A46" s="2">
        <v>7692924</v>
      </c>
      <c r="B46" t="s">
        <v>73</v>
      </c>
      <c r="C46" s="2">
        <v>6012442762</v>
      </c>
      <c r="D46" s="5" t="s">
        <v>35</v>
      </c>
      <c r="E46" s="2">
        <v>12</v>
      </c>
      <c r="F46" s="30">
        <v>45416</v>
      </c>
      <c r="G46" s="30">
        <f>F46-K46</f>
        <v>45411</v>
      </c>
      <c r="H46" s="5" t="s">
        <v>98</v>
      </c>
      <c r="I46" s="16">
        <v>3</v>
      </c>
      <c r="J46" s="2">
        <v>2</v>
      </c>
      <c r="K46" s="2">
        <f t="shared" si="2"/>
        <v>5</v>
      </c>
      <c r="L46" s="2" t="s">
        <v>21</v>
      </c>
      <c r="M46" s="5" t="s">
        <v>6</v>
      </c>
      <c r="N46" s="3">
        <f t="shared" si="3"/>
        <v>23750</v>
      </c>
      <c r="O46" s="3">
        <f t="shared" si="1"/>
        <v>23750</v>
      </c>
      <c r="P46" s="24"/>
      <c r="Q46" s="38"/>
      <c r="R46" s="38"/>
      <c r="S46" s="38"/>
      <c r="T46" s="38"/>
      <c r="U46" s="38"/>
      <c r="V46" s="26"/>
      <c r="W46" s="24">
        <v>23750</v>
      </c>
      <c r="X46" s="38"/>
      <c r="Y46" s="38"/>
      <c r="Z46" s="38"/>
      <c r="AA46" s="38"/>
      <c r="AB46" s="39"/>
      <c r="AC46" s="26"/>
      <c r="AD46" s="24"/>
      <c r="AE46" s="38"/>
      <c r="AF46" s="38"/>
      <c r="AG46" s="38"/>
      <c r="AH46" s="38"/>
      <c r="AI46" s="38"/>
      <c r="AJ46" s="26"/>
      <c r="AK46" s="19"/>
      <c r="AL46" s="34"/>
      <c r="AM46" s="34"/>
      <c r="AN46" s="34"/>
      <c r="AO46" s="34"/>
      <c r="AP46" s="34"/>
      <c r="AQ46" s="20"/>
      <c r="AR46" s="19"/>
      <c r="AS46" s="34"/>
      <c r="AT46" s="34"/>
      <c r="AU46" s="34"/>
      <c r="AV46" s="34"/>
      <c r="AW46" s="34"/>
      <c r="AX46" s="20"/>
      <c r="AY46" s="19"/>
      <c r="AZ46" s="34"/>
      <c r="BA46" s="34"/>
      <c r="BB46" s="34"/>
      <c r="BC46" s="34"/>
      <c r="BD46" s="20"/>
    </row>
    <row r="47" spans="1:56" x14ac:dyDescent="0.25">
      <c r="A47" s="2">
        <v>7692924</v>
      </c>
      <c r="B47" t="s">
        <v>74</v>
      </c>
      <c r="C47" s="2">
        <v>6012444699</v>
      </c>
      <c r="D47" s="5" t="s">
        <v>35</v>
      </c>
      <c r="E47" s="2">
        <v>12</v>
      </c>
      <c r="F47" s="30">
        <v>45416</v>
      </c>
      <c r="G47" s="30">
        <f>F47-K47</f>
        <v>45411</v>
      </c>
      <c r="H47" s="5" t="s">
        <v>98</v>
      </c>
      <c r="I47" s="16">
        <v>3</v>
      </c>
      <c r="J47" s="2">
        <v>2</v>
      </c>
      <c r="K47" s="2">
        <f t="shared" si="2"/>
        <v>5</v>
      </c>
      <c r="L47" s="2" t="s">
        <v>21</v>
      </c>
      <c r="M47" s="5" t="s">
        <v>6</v>
      </c>
      <c r="N47" s="3">
        <f t="shared" si="3"/>
        <v>16250</v>
      </c>
      <c r="O47" s="3">
        <f t="shared" si="1"/>
        <v>16250</v>
      </c>
      <c r="P47" s="24"/>
      <c r="Q47" s="38"/>
      <c r="R47" s="38"/>
      <c r="S47" s="38"/>
      <c r="T47" s="38"/>
      <c r="U47" s="38"/>
      <c r="V47" s="26"/>
      <c r="W47" s="24">
        <v>16250</v>
      </c>
      <c r="X47" s="38"/>
      <c r="Y47" s="38"/>
      <c r="Z47" s="38"/>
      <c r="AA47" s="38"/>
      <c r="AB47" s="39"/>
      <c r="AC47" s="26"/>
      <c r="AD47" s="24"/>
      <c r="AE47" s="38"/>
      <c r="AF47" s="38"/>
      <c r="AG47" s="38"/>
      <c r="AH47" s="38"/>
      <c r="AI47" s="38"/>
      <c r="AJ47" s="26"/>
      <c r="AK47" s="19"/>
      <c r="AL47" s="34"/>
      <c r="AM47" s="34"/>
      <c r="AN47" s="34"/>
      <c r="AO47" s="34"/>
      <c r="AP47" s="34"/>
      <c r="AQ47" s="20"/>
      <c r="AR47" s="19"/>
      <c r="AS47" s="34"/>
      <c r="AT47" s="34"/>
      <c r="AU47" s="34"/>
      <c r="AV47" s="34"/>
      <c r="AW47" s="34"/>
      <c r="AX47" s="20"/>
      <c r="AY47" s="19"/>
      <c r="AZ47" s="34"/>
      <c r="BA47" s="34"/>
      <c r="BB47" s="34"/>
      <c r="BC47" s="34"/>
      <c r="BD47" s="20"/>
    </row>
    <row r="48" spans="1:56" x14ac:dyDescent="0.25">
      <c r="A48" s="2">
        <v>7622071</v>
      </c>
      <c r="B48" t="s">
        <v>75</v>
      </c>
      <c r="C48" s="2">
        <v>6012446594</v>
      </c>
      <c r="D48" s="5" t="s">
        <v>35</v>
      </c>
      <c r="E48" s="2">
        <v>12</v>
      </c>
      <c r="F48" s="30">
        <v>45428</v>
      </c>
      <c r="G48" s="30">
        <f>F48-K48</f>
        <v>45423</v>
      </c>
      <c r="H48" s="5" t="s">
        <v>98</v>
      </c>
      <c r="I48" s="16">
        <v>3</v>
      </c>
      <c r="J48" s="2">
        <v>2</v>
      </c>
      <c r="K48" s="2">
        <f t="shared" si="2"/>
        <v>5</v>
      </c>
      <c r="L48" s="2" t="s">
        <v>5</v>
      </c>
      <c r="M48" s="5" t="s">
        <v>6</v>
      </c>
      <c r="N48" s="3">
        <f t="shared" si="3"/>
        <v>28750</v>
      </c>
      <c r="O48" s="3">
        <f t="shared" si="1"/>
        <v>28750</v>
      </c>
      <c r="P48" s="24"/>
      <c r="Q48" s="38"/>
      <c r="R48" s="38"/>
      <c r="S48" s="38"/>
      <c r="T48" s="38"/>
      <c r="U48" s="38"/>
      <c r="V48" s="26"/>
      <c r="W48" s="24"/>
      <c r="X48" s="38"/>
      <c r="Y48" s="38"/>
      <c r="Z48" s="38"/>
      <c r="AA48" s="38"/>
      <c r="AB48" s="38"/>
      <c r="AC48" s="26"/>
      <c r="AD48" s="24"/>
      <c r="AE48" s="38"/>
      <c r="AF48" s="38"/>
      <c r="AG48" s="38"/>
      <c r="AH48" s="38"/>
      <c r="AI48" s="38">
        <v>28750</v>
      </c>
      <c r="AJ48" s="26"/>
      <c r="AK48" s="19"/>
      <c r="AL48" s="34"/>
      <c r="AM48" s="34"/>
      <c r="AN48" s="35"/>
      <c r="AO48" s="34"/>
      <c r="AP48" s="34"/>
      <c r="AQ48" s="20"/>
      <c r="AR48" s="19"/>
      <c r="AS48" s="34"/>
      <c r="AT48" s="34"/>
      <c r="AU48" s="34"/>
      <c r="AV48" s="34"/>
      <c r="AW48" s="34"/>
      <c r="AX48" s="20"/>
      <c r="AY48" s="19"/>
      <c r="AZ48" s="34"/>
      <c r="BA48" s="34"/>
      <c r="BB48" s="34"/>
      <c r="BC48" s="34"/>
      <c r="BD48" s="20"/>
    </row>
    <row r="49" spans="1:56" x14ac:dyDescent="0.25">
      <c r="A49" s="2">
        <v>7692734</v>
      </c>
      <c r="B49" t="s">
        <v>76</v>
      </c>
      <c r="C49" s="2">
        <v>6012447396</v>
      </c>
      <c r="D49" s="5" t="s">
        <v>24</v>
      </c>
      <c r="E49" s="2">
        <v>4</v>
      </c>
      <c r="F49" s="30">
        <v>45437</v>
      </c>
      <c r="G49" s="30">
        <f>F49-K49</f>
        <v>45431</v>
      </c>
      <c r="H49" s="5" t="s">
        <v>97</v>
      </c>
      <c r="I49" s="16">
        <v>4</v>
      </c>
      <c r="J49" s="2">
        <v>2</v>
      </c>
      <c r="K49" s="2">
        <f t="shared" si="2"/>
        <v>6</v>
      </c>
      <c r="L49" s="2" t="s">
        <v>5</v>
      </c>
      <c r="M49" s="5" t="s">
        <v>6</v>
      </c>
      <c r="N49" s="3">
        <f t="shared" si="3"/>
        <v>0</v>
      </c>
      <c r="O49" s="3">
        <f t="shared" si="1"/>
        <v>10000</v>
      </c>
      <c r="P49" s="24"/>
      <c r="Q49" s="38"/>
      <c r="R49" s="38"/>
      <c r="S49" s="38"/>
      <c r="T49" s="38"/>
      <c r="U49" s="38"/>
      <c r="V49" s="26"/>
      <c r="W49" s="24"/>
      <c r="X49" s="38"/>
      <c r="Y49" s="38"/>
      <c r="Z49" s="38"/>
      <c r="AA49" s="38"/>
      <c r="AB49" s="38"/>
      <c r="AC49" s="26"/>
      <c r="AD49" s="24"/>
      <c r="AE49" s="38"/>
      <c r="AF49" s="38"/>
      <c r="AG49" s="38"/>
      <c r="AH49" s="38"/>
      <c r="AI49" s="38"/>
      <c r="AJ49" s="26"/>
      <c r="AK49" s="19"/>
      <c r="AL49" s="34"/>
      <c r="AM49" s="34"/>
      <c r="AN49" s="34"/>
      <c r="AO49" s="34"/>
      <c r="AP49" s="34"/>
      <c r="AQ49" s="20">
        <v>10000</v>
      </c>
      <c r="AR49" s="19"/>
      <c r="AS49" s="34"/>
      <c r="AT49" s="34"/>
      <c r="AU49" s="34"/>
      <c r="AV49" s="34"/>
      <c r="AW49" s="35"/>
      <c r="AX49" s="20"/>
      <c r="AY49" s="19"/>
      <c r="AZ49" s="34"/>
      <c r="BA49" s="34"/>
      <c r="BB49" s="34"/>
      <c r="BC49" s="34"/>
      <c r="BD49" s="20"/>
    </row>
    <row r="50" spans="1:56" x14ac:dyDescent="0.25">
      <c r="A50" s="2">
        <v>7600151</v>
      </c>
      <c r="B50" t="s">
        <v>77</v>
      </c>
      <c r="C50" s="2">
        <v>6012447976</v>
      </c>
      <c r="D50" s="5" t="s">
        <v>27</v>
      </c>
      <c r="E50" s="2">
        <v>6</v>
      </c>
      <c r="F50" s="30">
        <v>45432</v>
      </c>
      <c r="G50" s="30">
        <f>F50-K50</f>
        <v>45420</v>
      </c>
      <c r="H50" s="5" t="s">
        <v>97</v>
      </c>
      <c r="I50" s="16">
        <v>10</v>
      </c>
      <c r="J50" s="2">
        <v>2</v>
      </c>
      <c r="K50" s="2">
        <f t="shared" si="2"/>
        <v>12</v>
      </c>
      <c r="L50" s="2" t="s">
        <v>5</v>
      </c>
      <c r="M50" s="5" t="s">
        <v>6</v>
      </c>
      <c r="N50" s="3">
        <f t="shared" si="3"/>
        <v>76250</v>
      </c>
      <c r="O50" s="3">
        <f t="shared" si="1"/>
        <v>76250</v>
      </c>
      <c r="P50" s="24"/>
      <c r="Q50" s="38"/>
      <c r="R50" s="38"/>
      <c r="S50" s="38"/>
      <c r="T50" s="38"/>
      <c r="U50" s="38"/>
      <c r="V50" s="26"/>
      <c r="W50" s="24"/>
      <c r="X50" s="38"/>
      <c r="Y50" s="38"/>
      <c r="Z50" s="38"/>
      <c r="AA50" s="38"/>
      <c r="AB50" s="38"/>
      <c r="AC50" s="26"/>
      <c r="AD50" s="24"/>
      <c r="AE50" s="38"/>
      <c r="AF50" s="38">
        <v>76250</v>
      </c>
      <c r="AG50" s="38"/>
      <c r="AH50" s="38"/>
      <c r="AI50" s="38"/>
      <c r="AJ50" s="26"/>
      <c r="AK50" s="19"/>
      <c r="AL50" s="34"/>
      <c r="AM50" s="34"/>
      <c r="AN50" s="34"/>
      <c r="AO50" s="34"/>
      <c r="AP50" s="34"/>
      <c r="AQ50" s="20"/>
      <c r="AR50" s="37"/>
      <c r="AS50" s="34"/>
      <c r="AT50" s="34"/>
      <c r="AU50" s="34"/>
      <c r="AV50" s="34"/>
      <c r="AW50" s="34"/>
      <c r="AX50" s="20"/>
      <c r="AY50" s="19"/>
      <c r="AZ50" s="34"/>
      <c r="BA50" s="34"/>
      <c r="BB50" s="34"/>
      <c r="BC50" s="34"/>
      <c r="BD50" s="20"/>
    </row>
    <row r="51" spans="1:56" x14ac:dyDescent="0.25">
      <c r="A51" s="2">
        <v>7600152</v>
      </c>
      <c r="B51" t="s">
        <v>78</v>
      </c>
      <c r="C51" s="2">
        <v>6012447977</v>
      </c>
      <c r="D51" s="5" t="s">
        <v>27</v>
      </c>
      <c r="E51" s="2">
        <v>9</v>
      </c>
      <c r="F51" s="30">
        <v>45432</v>
      </c>
      <c r="G51" s="30">
        <f>F51-K51</f>
        <v>45420</v>
      </c>
      <c r="H51" s="5" t="s">
        <v>97</v>
      </c>
      <c r="I51" s="16">
        <v>10</v>
      </c>
      <c r="J51" s="2">
        <v>2</v>
      </c>
      <c r="K51" s="2">
        <f t="shared" si="2"/>
        <v>12</v>
      </c>
      <c r="L51" s="2" t="s">
        <v>5</v>
      </c>
      <c r="M51" s="5" t="s">
        <v>6</v>
      </c>
      <c r="N51" s="3">
        <f t="shared" si="3"/>
        <v>30000</v>
      </c>
      <c r="O51" s="3">
        <f t="shared" si="1"/>
        <v>30000</v>
      </c>
      <c r="P51" s="24"/>
      <c r="Q51" s="38"/>
      <c r="R51" s="38"/>
      <c r="S51" s="38"/>
      <c r="T51" s="38"/>
      <c r="U51" s="38"/>
      <c r="V51" s="26"/>
      <c r="W51" s="24"/>
      <c r="X51" s="38"/>
      <c r="Y51" s="38"/>
      <c r="Z51" s="38"/>
      <c r="AA51" s="38"/>
      <c r="AB51" s="38"/>
      <c r="AC51" s="26"/>
      <c r="AD51" s="24"/>
      <c r="AE51" s="38"/>
      <c r="AF51" s="38">
        <v>30000</v>
      </c>
      <c r="AG51" s="38"/>
      <c r="AH51" s="38"/>
      <c r="AI51" s="38"/>
      <c r="AJ51" s="26"/>
      <c r="AK51" s="19"/>
      <c r="AL51" s="34"/>
      <c r="AM51" s="34"/>
      <c r="AN51" s="34"/>
      <c r="AO51" s="34"/>
      <c r="AP51" s="34"/>
      <c r="AQ51" s="20"/>
      <c r="AR51" s="37"/>
      <c r="AS51" s="34"/>
      <c r="AT51" s="34"/>
      <c r="AU51" s="34"/>
      <c r="AV51" s="34"/>
      <c r="AW51" s="34"/>
      <c r="AX51" s="20"/>
      <c r="AY51" s="19"/>
      <c r="AZ51" s="34"/>
      <c r="BA51" s="34"/>
      <c r="BB51" s="34"/>
      <c r="BC51" s="34"/>
      <c r="BD51" s="20"/>
    </row>
    <row r="52" spans="1:56" x14ac:dyDescent="0.25">
      <c r="A52" s="2">
        <v>7692588</v>
      </c>
      <c r="B52" t="s">
        <v>32</v>
      </c>
      <c r="C52" s="2">
        <v>6012452095</v>
      </c>
      <c r="D52" s="5" t="s">
        <v>63</v>
      </c>
      <c r="E52" s="2">
        <v>9</v>
      </c>
      <c r="F52" s="30">
        <v>45429</v>
      </c>
      <c r="G52" s="30">
        <f>F52-K52</f>
        <v>45417</v>
      </c>
      <c r="H52" s="5" t="s">
        <v>13</v>
      </c>
      <c r="I52" s="16">
        <v>10</v>
      </c>
      <c r="J52" s="2">
        <v>2</v>
      </c>
      <c r="K52" s="2">
        <f t="shared" si="2"/>
        <v>12</v>
      </c>
      <c r="L52" s="2" t="s">
        <v>5</v>
      </c>
      <c r="M52" s="5" t="s">
        <v>6</v>
      </c>
      <c r="N52" s="3">
        <f t="shared" si="3"/>
        <v>40000</v>
      </c>
      <c r="O52" s="3">
        <f t="shared" si="1"/>
        <v>80000</v>
      </c>
      <c r="P52" s="24"/>
      <c r="Q52" s="38"/>
      <c r="R52" s="38"/>
      <c r="S52" s="38"/>
      <c r="T52" s="38"/>
      <c r="U52" s="38"/>
      <c r="V52" s="26"/>
      <c r="W52" s="24"/>
      <c r="X52" s="38"/>
      <c r="Y52" s="38"/>
      <c r="Z52" s="38"/>
      <c r="AA52" s="38"/>
      <c r="AB52" s="38"/>
      <c r="AC52" s="26">
        <v>40000</v>
      </c>
      <c r="AD52" s="24"/>
      <c r="AE52" s="38"/>
      <c r="AF52" s="38"/>
      <c r="AG52" s="38"/>
      <c r="AH52" s="38"/>
      <c r="AI52" s="38"/>
      <c r="AJ52" s="26"/>
      <c r="AK52" s="19">
        <v>40000</v>
      </c>
      <c r="AL52" s="34"/>
      <c r="AM52" s="34"/>
      <c r="AN52" s="34"/>
      <c r="AO52" s="35"/>
      <c r="AP52" s="35"/>
      <c r="AQ52" s="36"/>
      <c r="AR52" s="37"/>
      <c r="AS52" s="35"/>
      <c r="AT52" s="35"/>
      <c r="AU52" s="35"/>
      <c r="AV52" s="35"/>
      <c r="AW52" s="35"/>
      <c r="AX52" s="20"/>
      <c r="AY52" s="19"/>
      <c r="AZ52" s="34"/>
      <c r="BA52" s="34"/>
      <c r="BB52" s="34"/>
      <c r="BC52" s="34"/>
      <c r="BD52" s="20"/>
    </row>
    <row r="53" spans="1:56" x14ac:dyDescent="0.25">
      <c r="A53" s="2">
        <v>7692798</v>
      </c>
      <c r="B53" t="s">
        <v>85</v>
      </c>
      <c r="C53" s="2">
        <v>6012457022</v>
      </c>
      <c r="D53" s="5" t="s">
        <v>86</v>
      </c>
      <c r="E53" s="2">
        <v>9</v>
      </c>
      <c r="F53" s="30">
        <v>45416</v>
      </c>
      <c r="G53" s="30">
        <f>F53-K53</f>
        <v>45414</v>
      </c>
      <c r="H53" s="5" t="s">
        <v>96</v>
      </c>
      <c r="I53" s="16"/>
      <c r="J53" s="2">
        <v>2</v>
      </c>
      <c r="K53" s="2">
        <f t="shared" si="2"/>
        <v>2</v>
      </c>
      <c r="L53" s="2" t="s">
        <v>21</v>
      </c>
      <c r="M53" s="5" t="s">
        <v>6</v>
      </c>
      <c r="N53" s="3">
        <f t="shared" si="3"/>
        <v>150000</v>
      </c>
      <c r="O53" s="3">
        <f t="shared" si="1"/>
        <v>150000</v>
      </c>
      <c r="P53" s="24"/>
      <c r="Q53" s="38"/>
      <c r="R53" s="38"/>
      <c r="S53" s="38"/>
      <c r="T53" s="38"/>
      <c r="U53" s="38"/>
      <c r="V53" s="26"/>
      <c r="W53" s="24"/>
      <c r="X53" s="38"/>
      <c r="Y53" s="38"/>
      <c r="Z53" s="38"/>
      <c r="AA53" s="38"/>
      <c r="AB53" s="38">
        <v>150000</v>
      </c>
      <c r="AC53" s="26"/>
      <c r="AD53" s="24"/>
      <c r="AE53" s="38"/>
      <c r="AF53" s="38"/>
      <c r="AG53" s="38"/>
      <c r="AH53" s="38"/>
      <c r="AI53" s="38"/>
      <c r="AJ53" s="26"/>
      <c r="AK53" s="19"/>
      <c r="AL53" s="34"/>
      <c r="AM53" s="34"/>
      <c r="AN53" s="34"/>
      <c r="AO53" s="34"/>
      <c r="AP53" s="34"/>
      <c r="AQ53" s="20"/>
      <c r="AR53" s="19"/>
      <c r="AS53" s="34"/>
      <c r="AT53" s="34"/>
      <c r="AU53" s="34"/>
      <c r="AV53" s="34"/>
      <c r="AW53" s="34"/>
      <c r="AX53" s="20"/>
      <c r="AY53" s="19"/>
      <c r="AZ53" s="34"/>
      <c r="BA53" s="34"/>
      <c r="BB53" s="34"/>
      <c r="BC53" s="34"/>
      <c r="BD53" s="20"/>
    </row>
    <row r="54" spans="1:56" x14ac:dyDescent="0.25">
      <c r="A54" s="2">
        <v>7692923</v>
      </c>
      <c r="B54" t="s">
        <v>87</v>
      </c>
      <c r="C54" s="2">
        <v>6012453908</v>
      </c>
      <c r="D54" s="5" t="s">
        <v>40</v>
      </c>
      <c r="E54" s="2">
        <v>9</v>
      </c>
      <c r="F54" s="30">
        <v>45412</v>
      </c>
      <c r="G54" s="30">
        <f>F54-K54</f>
        <v>45410</v>
      </c>
      <c r="H54" s="5" t="s">
        <v>98</v>
      </c>
      <c r="I54" s="16"/>
      <c r="J54" s="2">
        <v>2</v>
      </c>
      <c r="K54" s="2">
        <f t="shared" si="2"/>
        <v>2</v>
      </c>
      <c r="L54" s="2" t="s">
        <v>21</v>
      </c>
      <c r="M54" s="5" t="s">
        <v>6</v>
      </c>
      <c r="N54" s="3">
        <f t="shared" si="3"/>
        <v>115000</v>
      </c>
      <c r="O54" s="3">
        <f t="shared" si="1"/>
        <v>115000</v>
      </c>
      <c r="P54" s="24"/>
      <c r="Q54" s="38"/>
      <c r="R54" s="38"/>
      <c r="S54" s="38"/>
      <c r="T54" s="38"/>
      <c r="U54" s="38"/>
      <c r="V54" s="26"/>
      <c r="W54" s="24"/>
      <c r="X54" s="38">
        <v>115000</v>
      </c>
      <c r="Y54" s="38"/>
      <c r="Z54" s="38"/>
      <c r="AA54" s="38"/>
      <c r="AB54" s="38"/>
      <c r="AC54" s="26"/>
      <c r="AD54" s="24"/>
      <c r="AE54" s="38"/>
      <c r="AF54" s="38"/>
      <c r="AG54" s="38"/>
      <c r="AH54" s="38"/>
      <c r="AI54" s="38"/>
      <c r="AJ54" s="26"/>
      <c r="AK54" s="19"/>
      <c r="AL54" s="34"/>
      <c r="AM54" s="34"/>
      <c r="AN54" s="34"/>
      <c r="AO54" s="34"/>
      <c r="AP54" s="34"/>
      <c r="AQ54" s="20"/>
      <c r="AR54" s="19"/>
      <c r="AS54" s="34"/>
      <c r="AT54" s="34"/>
      <c r="AU54" s="34"/>
      <c r="AV54" s="34"/>
      <c r="AW54" s="34"/>
      <c r="AX54" s="20"/>
      <c r="AY54" s="19"/>
      <c r="AZ54" s="34"/>
      <c r="BA54" s="34"/>
      <c r="BB54" s="34"/>
      <c r="BC54" s="34"/>
      <c r="BD54" s="20"/>
    </row>
    <row r="55" spans="1:56" x14ac:dyDescent="0.25">
      <c r="A55" s="2">
        <v>7692913</v>
      </c>
      <c r="B55" t="s">
        <v>88</v>
      </c>
      <c r="C55" s="2">
        <v>6012458414</v>
      </c>
      <c r="D55" s="5" t="s">
        <v>38</v>
      </c>
      <c r="E55" s="2">
        <v>6</v>
      </c>
      <c r="F55" s="30">
        <v>45425</v>
      </c>
      <c r="G55" s="30">
        <f>F55-K55</f>
        <v>45420</v>
      </c>
      <c r="H55" s="5" t="s">
        <v>98</v>
      </c>
      <c r="I55" s="16">
        <v>3</v>
      </c>
      <c r="J55" s="2">
        <v>2</v>
      </c>
      <c r="K55" s="2">
        <f t="shared" si="2"/>
        <v>5</v>
      </c>
      <c r="L55" s="2" t="s">
        <v>5</v>
      </c>
      <c r="M55" s="5" t="s">
        <v>6</v>
      </c>
      <c r="N55" s="3">
        <f t="shared" si="3"/>
        <v>70000</v>
      </c>
      <c r="O55" s="3">
        <f t="shared" si="1"/>
        <v>175000</v>
      </c>
      <c r="P55" s="24"/>
      <c r="Q55" s="38"/>
      <c r="R55" s="38"/>
      <c r="S55" s="38"/>
      <c r="T55" s="38"/>
      <c r="U55" s="38"/>
      <c r="V55" s="26"/>
      <c r="W55" s="24"/>
      <c r="X55" s="38"/>
      <c r="Y55" s="38"/>
      <c r="Z55" s="38"/>
      <c r="AA55" s="38"/>
      <c r="AB55" s="38"/>
      <c r="AC55" s="26"/>
      <c r="AD55" s="24"/>
      <c r="AE55" s="38"/>
      <c r="AF55" s="38">
        <v>70000</v>
      </c>
      <c r="AG55" s="38"/>
      <c r="AH55" s="38"/>
      <c r="AI55" s="38"/>
      <c r="AJ55" s="26"/>
      <c r="AK55" s="19"/>
      <c r="AL55" s="34">
        <v>105000</v>
      </c>
      <c r="AM55" s="35"/>
      <c r="AN55" s="35"/>
      <c r="AO55" s="35"/>
      <c r="AP55" s="35"/>
      <c r="AQ55" s="36"/>
      <c r="AR55" s="19"/>
      <c r="AS55" s="34"/>
      <c r="AT55" s="34"/>
      <c r="AU55" s="34"/>
      <c r="AV55" s="34"/>
      <c r="AW55" s="34"/>
      <c r="AX55" s="20"/>
      <c r="AY55" s="19"/>
      <c r="AZ55" s="34"/>
      <c r="BA55" s="34"/>
      <c r="BB55" s="34"/>
      <c r="BC55" s="34"/>
      <c r="BD55" s="20"/>
    </row>
    <row r="56" spans="1:56" x14ac:dyDescent="0.25">
      <c r="A56" s="2">
        <v>7692912</v>
      </c>
      <c r="B56" t="s">
        <v>89</v>
      </c>
      <c r="C56" s="2">
        <v>6012462445</v>
      </c>
      <c r="D56" s="5" t="s">
        <v>90</v>
      </c>
      <c r="E56" s="2">
        <v>9</v>
      </c>
      <c r="F56" s="30">
        <v>45422</v>
      </c>
      <c r="G56" s="30">
        <f>F56-K56</f>
        <v>45417</v>
      </c>
      <c r="H56" s="5" t="s">
        <v>98</v>
      </c>
      <c r="I56" s="16">
        <v>3</v>
      </c>
      <c r="J56" s="2">
        <v>2</v>
      </c>
      <c r="K56" s="2">
        <f t="shared" si="2"/>
        <v>5</v>
      </c>
      <c r="L56" s="2" t="s">
        <v>5</v>
      </c>
      <c r="M56" s="5" t="s">
        <v>36</v>
      </c>
      <c r="N56" s="3">
        <f t="shared" si="3"/>
        <v>30000</v>
      </c>
      <c r="O56" s="3">
        <f t="shared" si="1"/>
        <v>65000</v>
      </c>
      <c r="P56" s="24"/>
      <c r="Q56" s="38"/>
      <c r="R56" s="38"/>
      <c r="S56" s="38"/>
      <c r="T56" s="38"/>
      <c r="U56" s="38"/>
      <c r="V56" s="26"/>
      <c r="W56" s="24"/>
      <c r="X56" s="38"/>
      <c r="Y56" s="38"/>
      <c r="Z56" s="38"/>
      <c r="AA56" s="38"/>
      <c r="AB56" s="38"/>
      <c r="AC56" s="26">
        <v>15000</v>
      </c>
      <c r="AD56" s="24"/>
      <c r="AE56" s="38"/>
      <c r="AF56" s="38"/>
      <c r="AG56" s="38"/>
      <c r="AH56" s="38">
        <v>15000</v>
      </c>
      <c r="AI56" s="38"/>
      <c r="AJ56" s="26"/>
      <c r="AK56" s="19"/>
      <c r="AL56" s="34"/>
      <c r="AM56" s="34">
        <v>15000</v>
      </c>
      <c r="AN56" s="34"/>
      <c r="AO56" s="34"/>
      <c r="AP56" s="34"/>
      <c r="AQ56" s="20"/>
      <c r="AR56" s="19"/>
      <c r="AS56" s="34"/>
      <c r="AT56" s="34">
        <v>20000</v>
      </c>
      <c r="AU56" s="35"/>
      <c r="AV56" s="35"/>
      <c r="AW56" s="35"/>
      <c r="AX56" s="36"/>
      <c r="AY56" s="37"/>
      <c r="AZ56" s="34"/>
      <c r="BA56" s="34"/>
      <c r="BB56" s="34"/>
      <c r="BC56" s="34"/>
      <c r="BD56" s="20"/>
    </row>
    <row r="57" spans="1:56" x14ac:dyDescent="0.25">
      <c r="A57" s="2">
        <v>7692912</v>
      </c>
      <c r="B57" t="s">
        <v>91</v>
      </c>
      <c r="C57" s="2">
        <v>6012462861</v>
      </c>
      <c r="D57" s="5" t="s">
        <v>90</v>
      </c>
      <c r="E57" s="2">
        <v>9</v>
      </c>
      <c r="F57" s="30">
        <v>45422</v>
      </c>
      <c r="G57" s="30">
        <f>F57-K57</f>
        <v>45417</v>
      </c>
      <c r="H57" s="5" t="s">
        <v>98</v>
      </c>
      <c r="I57" s="16">
        <v>3</v>
      </c>
      <c r="J57" s="2">
        <v>2</v>
      </c>
      <c r="K57" s="2">
        <f t="shared" si="2"/>
        <v>5</v>
      </c>
      <c r="L57" s="2" t="s">
        <v>5</v>
      </c>
      <c r="M57" s="5" t="s">
        <v>6</v>
      </c>
      <c r="N57" s="3">
        <f t="shared" si="3"/>
        <v>30000</v>
      </c>
      <c r="O57" s="3">
        <f t="shared" si="1"/>
        <v>60000</v>
      </c>
      <c r="P57" s="24"/>
      <c r="Q57" s="38"/>
      <c r="R57" s="38"/>
      <c r="S57" s="38"/>
      <c r="T57" s="38"/>
      <c r="U57" s="38"/>
      <c r="V57" s="26"/>
      <c r="W57" s="24"/>
      <c r="X57" s="38"/>
      <c r="Y57" s="38"/>
      <c r="Z57" s="38"/>
      <c r="AA57" s="38"/>
      <c r="AB57" s="38"/>
      <c r="AC57" s="26">
        <v>15000</v>
      </c>
      <c r="AD57" s="24"/>
      <c r="AE57" s="38"/>
      <c r="AF57" s="38"/>
      <c r="AG57" s="38"/>
      <c r="AH57" s="38">
        <v>15000</v>
      </c>
      <c r="AI57" s="38"/>
      <c r="AJ57" s="26"/>
      <c r="AK57" s="19"/>
      <c r="AL57" s="34"/>
      <c r="AM57" s="34">
        <v>15000</v>
      </c>
      <c r="AN57" s="34"/>
      <c r="AO57" s="34"/>
      <c r="AP57" s="34"/>
      <c r="AQ57" s="20"/>
      <c r="AR57" s="19"/>
      <c r="AS57" s="34"/>
      <c r="AT57" s="34">
        <v>15000</v>
      </c>
      <c r="AU57" s="35"/>
      <c r="AV57" s="35"/>
      <c r="AW57" s="35"/>
      <c r="AX57" s="36"/>
      <c r="AY57" s="37"/>
      <c r="AZ57" s="34"/>
      <c r="BA57" s="34"/>
      <c r="BB57" s="34"/>
      <c r="BC57" s="34"/>
      <c r="BD57" s="20"/>
    </row>
    <row r="58" spans="1:56" x14ac:dyDescent="0.25">
      <c r="A58" s="2">
        <v>7692862</v>
      </c>
      <c r="B58" t="s">
        <v>41</v>
      </c>
      <c r="C58" s="2">
        <v>6012458260</v>
      </c>
      <c r="D58" s="5" t="s">
        <v>42</v>
      </c>
      <c r="E58" s="2">
        <v>9</v>
      </c>
      <c r="F58" s="30">
        <v>45421</v>
      </c>
      <c r="G58" s="30">
        <f>F58-K58</f>
        <v>45419</v>
      </c>
      <c r="H58" s="5" t="s">
        <v>99</v>
      </c>
      <c r="I58" s="16"/>
      <c r="J58" s="2">
        <v>2</v>
      </c>
      <c r="K58" s="2">
        <f t="shared" si="2"/>
        <v>2</v>
      </c>
      <c r="L58" s="2" t="s">
        <v>21</v>
      </c>
      <c r="M58" s="5" t="s">
        <v>6</v>
      </c>
      <c r="N58" s="3">
        <f t="shared" si="3"/>
        <v>100000</v>
      </c>
      <c r="O58" s="3">
        <f t="shared" si="1"/>
        <v>100000</v>
      </c>
      <c r="P58" s="24"/>
      <c r="Q58" s="38"/>
      <c r="R58" s="38"/>
      <c r="S58" s="38"/>
      <c r="T58" s="38"/>
      <c r="U58" s="38"/>
      <c r="V58" s="26"/>
      <c r="W58" s="24"/>
      <c r="X58" s="38"/>
      <c r="Y58" s="38"/>
      <c r="Z58" s="38"/>
      <c r="AA58" s="38"/>
      <c r="AB58" s="38"/>
      <c r="AC58" s="26"/>
      <c r="AD58" s="24"/>
      <c r="AE58" s="38"/>
      <c r="AF58" s="38"/>
      <c r="AG58" s="38">
        <v>100000</v>
      </c>
      <c r="AH58" s="38"/>
      <c r="AI58" s="38"/>
      <c r="AJ58" s="26"/>
      <c r="AK58" s="19"/>
      <c r="AL58" s="34"/>
      <c r="AM58" s="34"/>
      <c r="AN58" s="34"/>
      <c r="AO58" s="34"/>
      <c r="AP58" s="34"/>
      <c r="AQ58" s="20"/>
      <c r="AR58" s="19"/>
      <c r="AS58" s="34"/>
      <c r="AT58" s="34"/>
      <c r="AU58" s="34"/>
      <c r="AV58" s="34"/>
      <c r="AW58" s="34"/>
      <c r="AX58" s="20"/>
      <c r="AY58" s="19"/>
      <c r="AZ58" s="34"/>
      <c r="BA58" s="34"/>
      <c r="BB58" s="34"/>
      <c r="BC58" s="34"/>
      <c r="BD58" s="20"/>
    </row>
    <row r="59" spans="1:56" x14ac:dyDescent="0.25">
      <c r="A59" s="2">
        <v>7692733</v>
      </c>
      <c r="B59" t="s">
        <v>92</v>
      </c>
      <c r="C59" s="2">
        <v>6012463423</v>
      </c>
      <c r="D59" s="5" t="s">
        <v>24</v>
      </c>
      <c r="E59" s="2">
        <v>3</v>
      </c>
      <c r="F59" s="30">
        <v>45427</v>
      </c>
      <c r="G59" s="30">
        <f>F59-K59</f>
        <v>45421</v>
      </c>
      <c r="H59" s="5" t="s">
        <v>97</v>
      </c>
      <c r="I59" s="16">
        <v>4</v>
      </c>
      <c r="J59" s="2">
        <v>2</v>
      </c>
      <c r="K59" s="2">
        <f t="shared" si="2"/>
        <v>6</v>
      </c>
      <c r="L59" s="2" t="s">
        <v>5</v>
      </c>
      <c r="M59" s="5" t="s">
        <v>36</v>
      </c>
      <c r="N59" s="3">
        <f t="shared" si="3"/>
        <v>10000</v>
      </c>
      <c r="O59" s="3">
        <f t="shared" si="1"/>
        <v>10000</v>
      </c>
      <c r="P59" s="24"/>
      <c r="Q59" s="38"/>
      <c r="R59" s="38"/>
      <c r="S59" s="38"/>
      <c r="T59" s="38"/>
      <c r="U59" s="38"/>
      <c r="V59" s="26"/>
      <c r="W59" s="24"/>
      <c r="X59" s="38"/>
      <c r="Y59" s="38"/>
      <c r="Z59" s="38"/>
      <c r="AA59" s="38"/>
      <c r="AB59" s="38"/>
      <c r="AC59" s="26"/>
      <c r="AD59" s="24"/>
      <c r="AE59" s="38"/>
      <c r="AF59" s="38"/>
      <c r="AG59" s="38">
        <v>10000</v>
      </c>
      <c r="AH59" s="38"/>
      <c r="AI59" s="38"/>
      <c r="AJ59" s="26"/>
      <c r="AK59" s="19"/>
      <c r="AL59" s="34"/>
      <c r="AM59" s="35"/>
      <c r="AN59" s="34"/>
      <c r="AO59" s="34"/>
      <c r="AP59" s="34"/>
      <c r="AQ59" s="20"/>
      <c r="AR59" s="19"/>
      <c r="AS59" s="34"/>
      <c r="AT59" s="34"/>
      <c r="AU59" s="34"/>
      <c r="AV59" s="34"/>
      <c r="AW59" s="34"/>
      <c r="AX59" s="20"/>
      <c r="AY59" s="19"/>
      <c r="AZ59" s="34"/>
      <c r="BA59" s="34"/>
      <c r="BB59" s="34"/>
      <c r="BC59" s="34"/>
      <c r="BD59" s="20"/>
    </row>
    <row r="60" spans="1:56" ht="15.75" thickBot="1" x14ac:dyDescent="0.3">
      <c r="A60" s="2">
        <v>7692923</v>
      </c>
      <c r="B60" t="s">
        <v>93</v>
      </c>
      <c r="C60" s="2">
        <v>6012461642</v>
      </c>
      <c r="D60" s="5" t="s">
        <v>94</v>
      </c>
      <c r="E60" s="2">
        <v>9</v>
      </c>
      <c r="F60" s="30">
        <v>45418</v>
      </c>
      <c r="G60" s="30">
        <f>F60-K60</f>
        <v>45413</v>
      </c>
      <c r="H60" s="5" t="s">
        <v>98</v>
      </c>
      <c r="I60" s="16">
        <v>3</v>
      </c>
      <c r="J60" s="2">
        <v>2</v>
      </c>
      <c r="K60" s="2">
        <f t="shared" si="2"/>
        <v>5</v>
      </c>
      <c r="L60" s="2" t="s">
        <v>21</v>
      </c>
      <c r="M60" s="5" t="s">
        <v>6</v>
      </c>
      <c r="N60" s="3">
        <f t="shared" si="3"/>
        <v>158750</v>
      </c>
      <c r="O60" s="3">
        <f t="shared" si="1"/>
        <v>158750</v>
      </c>
      <c r="P60" s="27"/>
      <c r="Q60" s="28"/>
      <c r="R60" s="28"/>
      <c r="S60" s="28"/>
      <c r="T60" s="28"/>
      <c r="U60" s="28"/>
      <c r="V60" s="29"/>
      <c r="W60" s="27"/>
      <c r="X60" s="28"/>
      <c r="Y60" s="28">
        <v>80000</v>
      </c>
      <c r="Z60" s="28"/>
      <c r="AA60" s="28"/>
      <c r="AB60" s="28">
        <v>78750</v>
      </c>
      <c r="AC60" s="29"/>
      <c r="AD60" s="40"/>
      <c r="AE60" s="41"/>
      <c r="AF60" s="41"/>
      <c r="AG60" s="41"/>
      <c r="AH60" s="28"/>
      <c r="AI60" s="28"/>
      <c r="AJ60" s="29"/>
      <c r="AK60" s="21"/>
      <c r="AL60" s="22"/>
      <c r="AM60" s="22"/>
      <c r="AN60" s="22"/>
      <c r="AO60" s="22"/>
      <c r="AP60" s="22"/>
      <c r="AQ60" s="23"/>
      <c r="AR60" s="21"/>
      <c r="AS60" s="22"/>
      <c r="AT60" s="22"/>
      <c r="AU60" s="22"/>
      <c r="AV60" s="22"/>
      <c r="AW60" s="22"/>
      <c r="AX60" s="23"/>
      <c r="AY60" s="21"/>
      <c r="AZ60" s="22"/>
      <c r="BA60" s="22"/>
      <c r="BB60" s="22"/>
      <c r="BC60" s="22"/>
      <c r="BD60" s="23"/>
    </row>
    <row r="61" spans="1:56" x14ac:dyDescent="0.25"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</row>
    <row r="62" spans="1:56" x14ac:dyDescent="0.25"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</row>
    <row r="63" spans="1:56" x14ac:dyDescent="0.25"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</row>
    <row r="64" spans="1:56" x14ac:dyDescent="0.25"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</row>
    <row r="65" spans="16:56" x14ac:dyDescent="0.25"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</row>
    <row r="66" spans="16:56" x14ac:dyDescent="0.25"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</row>
    <row r="67" spans="16:56" x14ac:dyDescent="0.25"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</row>
    <row r="68" spans="16:56" x14ac:dyDescent="0.25"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</row>
    <row r="69" spans="16:56" x14ac:dyDescent="0.25"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</row>
    <row r="70" spans="16:56" x14ac:dyDescent="0.25"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</row>
    <row r="71" spans="16:56" x14ac:dyDescent="0.25"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</row>
    <row r="72" spans="16:56" x14ac:dyDescent="0.25"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</row>
    <row r="73" spans="16:56" x14ac:dyDescent="0.25"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</row>
    <row r="74" spans="16:56" x14ac:dyDescent="0.25"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</row>
    <row r="75" spans="16:56" x14ac:dyDescent="0.25"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</row>
    <row r="76" spans="16:56" x14ac:dyDescent="0.25"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</row>
    <row r="77" spans="16:56" x14ac:dyDescent="0.25"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</row>
  </sheetData>
  <autoFilter ref="A3:BD60" xr:uid="{E8E9405E-5A6D-4380-B8BA-AF57E580B666}"/>
  <conditionalFormatting sqref="C3:C60">
    <cfRule type="duplicateValues" dxfId="4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20992-8D00-41EE-AA0A-FDE3316FF8E6}">
  <sheetPr codeName="Hoja2"/>
  <dimension ref="A1:B40"/>
  <sheetViews>
    <sheetView topLeftCell="A9" zoomScale="50" zoomScaleNormal="50" workbookViewId="0">
      <selection activeCell="C29" sqref="C29"/>
    </sheetView>
  </sheetViews>
  <sheetFormatPr baseColWidth="10" defaultRowHeight="15" x14ac:dyDescent="0.25"/>
  <cols>
    <col min="1" max="1" width="46.42578125" bestFit="1" customWidth="1"/>
    <col min="2" max="2" width="14.140625" style="2" bestFit="1" customWidth="1"/>
    <col min="3" max="3" width="33" bestFit="1" customWidth="1"/>
  </cols>
  <sheetData>
    <row r="1" spans="1:2" x14ac:dyDescent="0.25">
      <c r="B1"/>
    </row>
    <row r="3" spans="1:2" ht="30" x14ac:dyDescent="0.25">
      <c r="A3" s="1" t="s">
        <v>12</v>
      </c>
      <c r="B3" s="6" t="s">
        <v>19</v>
      </c>
    </row>
    <row r="4" spans="1:2" x14ac:dyDescent="0.25">
      <c r="A4" s="5" t="s">
        <v>13</v>
      </c>
      <c r="B4" s="3">
        <v>280000</v>
      </c>
    </row>
    <row r="5" spans="1:2" x14ac:dyDescent="0.25">
      <c r="A5" s="5" t="s">
        <v>99</v>
      </c>
      <c r="B5" s="3">
        <v>500000</v>
      </c>
    </row>
    <row r="6" spans="1:2" x14ac:dyDescent="0.25">
      <c r="A6" s="5" t="s">
        <v>100</v>
      </c>
      <c r="B6" s="3">
        <v>624000</v>
      </c>
    </row>
    <row r="7" spans="1:2" x14ac:dyDescent="0.25">
      <c r="A7" s="5" t="s">
        <v>96</v>
      </c>
      <c r="B7" s="3">
        <v>562500</v>
      </c>
    </row>
    <row r="8" spans="1:2" x14ac:dyDescent="0.25">
      <c r="A8" s="5" t="s">
        <v>97</v>
      </c>
      <c r="B8" s="3">
        <v>396250</v>
      </c>
    </row>
    <row r="9" spans="1:2" x14ac:dyDescent="0.25">
      <c r="A9" s="5" t="s">
        <v>98</v>
      </c>
      <c r="B9" s="3">
        <v>472500</v>
      </c>
    </row>
    <row r="10" spans="1:2" x14ac:dyDescent="0.25">
      <c r="A10" s="5" t="s">
        <v>7</v>
      </c>
      <c r="B10" s="3">
        <v>2835250</v>
      </c>
    </row>
    <row r="11" spans="1:2" x14ac:dyDescent="0.25">
      <c r="B11"/>
    </row>
    <row r="12" spans="1:2" x14ac:dyDescent="0.25">
      <c r="B12"/>
    </row>
    <row r="13" spans="1:2" x14ac:dyDescent="0.25">
      <c r="B13"/>
    </row>
    <row r="14" spans="1:2" x14ac:dyDescent="0.25">
      <c r="B14"/>
    </row>
    <row r="15" spans="1:2" x14ac:dyDescent="0.25">
      <c r="B15"/>
    </row>
    <row r="16" spans="1:2" x14ac:dyDescent="0.25">
      <c r="B16"/>
    </row>
    <row r="17" spans="1:2" x14ac:dyDescent="0.25">
      <c r="B17"/>
    </row>
    <row r="18" spans="1:2" x14ac:dyDescent="0.25">
      <c r="A18" s="5"/>
    </row>
    <row r="19" spans="1:2" x14ac:dyDescent="0.25">
      <c r="A19" s="1" t="s">
        <v>19</v>
      </c>
    </row>
    <row r="20" spans="1:2" x14ac:dyDescent="0.25">
      <c r="A20" s="1" t="s">
        <v>14</v>
      </c>
      <c r="B20" t="s">
        <v>8</v>
      </c>
    </row>
    <row r="21" spans="1:2" x14ac:dyDescent="0.25">
      <c r="A21" t="s">
        <v>5</v>
      </c>
      <c r="B21" s="3">
        <v>2121500</v>
      </c>
    </row>
    <row r="22" spans="1:2" x14ac:dyDescent="0.25">
      <c r="A22" t="s">
        <v>21</v>
      </c>
      <c r="B22" s="3">
        <v>713750</v>
      </c>
    </row>
    <row r="23" spans="1:2" x14ac:dyDescent="0.25">
      <c r="A23" t="s">
        <v>7</v>
      </c>
      <c r="B23" s="3">
        <v>2835250</v>
      </c>
    </row>
    <row r="24" spans="1:2" x14ac:dyDescent="0.25">
      <c r="B24"/>
    </row>
    <row r="30" spans="1:2" x14ac:dyDescent="0.25">
      <c r="A30" s="5"/>
    </row>
    <row r="31" spans="1:2" x14ac:dyDescent="0.25">
      <c r="A31" s="1" t="s">
        <v>19</v>
      </c>
    </row>
    <row r="32" spans="1:2" x14ac:dyDescent="0.25">
      <c r="A32" s="7" t="s">
        <v>3</v>
      </c>
      <c r="B32" t="s">
        <v>8</v>
      </c>
    </row>
    <row r="33" spans="1:2" x14ac:dyDescent="0.25">
      <c r="A33" s="2">
        <v>9</v>
      </c>
      <c r="B33" s="3">
        <v>1647250</v>
      </c>
    </row>
    <row r="34" spans="1:2" x14ac:dyDescent="0.25">
      <c r="A34" s="2">
        <v>12</v>
      </c>
      <c r="B34" s="3">
        <v>588750</v>
      </c>
    </row>
    <row r="35" spans="1:2" x14ac:dyDescent="0.25">
      <c r="A35" s="2">
        <v>4</v>
      </c>
      <c r="B35" s="3">
        <v>104000</v>
      </c>
    </row>
    <row r="36" spans="1:2" x14ac:dyDescent="0.25">
      <c r="A36" s="2">
        <v>6</v>
      </c>
      <c r="B36" s="3">
        <v>407250</v>
      </c>
    </row>
    <row r="37" spans="1:2" x14ac:dyDescent="0.25">
      <c r="A37" s="2">
        <v>3</v>
      </c>
      <c r="B37" s="3">
        <v>62000</v>
      </c>
    </row>
    <row r="38" spans="1:2" x14ac:dyDescent="0.25">
      <c r="A38" s="2">
        <v>2</v>
      </c>
      <c r="B38" s="3">
        <v>26000</v>
      </c>
    </row>
    <row r="39" spans="1:2" x14ac:dyDescent="0.25">
      <c r="A39" s="2" t="s">
        <v>7</v>
      </c>
      <c r="B39" s="3">
        <v>2835250</v>
      </c>
    </row>
    <row r="40" spans="1:2" x14ac:dyDescent="0.25">
      <c r="B40"/>
    </row>
  </sheetData>
  <pageMargins left="0.7" right="0.7" top="0.75" bottom="0.75" header="0.3" footer="0.3"/>
  <pageSetup orientation="portrait" horizontalDpi="4294967293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9540-76BD-4FF2-9B6B-B3E2021B0650}">
  <sheetPr codeName="Hoja3"/>
  <dimension ref="C3:D5"/>
  <sheetViews>
    <sheetView tabSelected="1" workbookViewId="0">
      <selection activeCell="D4" sqref="D4"/>
    </sheetView>
  </sheetViews>
  <sheetFormatPr baseColWidth="10" defaultRowHeight="15" x14ac:dyDescent="0.25"/>
  <cols>
    <col min="3" max="3" width="12.28515625" bestFit="1" customWidth="1"/>
  </cols>
  <sheetData>
    <row r="3" spans="3:4" x14ac:dyDescent="0.25">
      <c r="C3" s="4" t="s">
        <v>10</v>
      </c>
      <c r="D3" s="13">
        <v>2835.25</v>
      </c>
    </row>
    <row r="4" spans="3:4" x14ac:dyDescent="0.25">
      <c r="C4" s="4" t="s">
        <v>9</v>
      </c>
      <c r="D4" s="4">
        <v>1596</v>
      </c>
    </row>
    <row r="5" spans="3:4" x14ac:dyDescent="0.25">
      <c r="C5" s="4" t="s">
        <v>11</v>
      </c>
      <c r="D5" s="4">
        <f>D4-D3</f>
        <v>-1239.25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405E-5A6D-4380-B8BA-AF57E580B666}">
  <sheetPr codeName="Hoja4"/>
  <dimension ref="A1:AZ60"/>
  <sheetViews>
    <sheetView zoomScale="60" zoomScaleNormal="60" workbookViewId="0">
      <selection activeCell="O12" sqref="O12"/>
    </sheetView>
  </sheetViews>
  <sheetFormatPr baseColWidth="10" defaultColWidth="11.42578125" defaultRowHeight="15" x14ac:dyDescent="0.25"/>
  <cols>
    <col min="1" max="1" width="12.42578125" style="2" customWidth="1"/>
    <col min="2" max="2" width="56.140625" customWidth="1"/>
    <col min="3" max="3" width="15.42578125" style="2" customWidth="1"/>
    <col min="4" max="4" width="41.85546875" bestFit="1" customWidth="1"/>
    <col min="5" max="5" width="41.85546875" customWidth="1"/>
    <col min="6" max="6" width="13.42578125" bestFit="1" customWidth="1"/>
    <col min="7" max="7" width="26.5703125" bestFit="1" customWidth="1"/>
    <col min="8" max="8" width="18.85546875" customWidth="1"/>
    <col min="9" max="9" width="17.85546875" customWidth="1"/>
    <col min="10" max="10" width="19.7109375" customWidth="1"/>
    <col min="11" max="11" width="19.5703125" customWidth="1"/>
    <col min="12" max="12" width="18.42578125" style="2" customWidth="1"/>
    <col min="13" max="52" width="15.42578125" style="2" customWidth="1"/>
    <col min="53" max="16384" width="11.42578125" style="2"/>
  </cols>
  <sheetData>
    <row r="1" spans="1:52" ht="26.25" x14ac:dyDescent="0.4">
      <c r="L1" s="17" t="s">
        <v>55</v>
      </c>
    </row>
    <row r="2" spans="1:52" ht="15.75" thickBot="1" x14ac:dyDescent="0.3">
      <c r="J2" s="3">
        <f t="shared" ref="J2:AZ2" si="0">SUM(J4:J60)</f>
        <v>7482750</v>
      </c>
      <c r="K2" s="3">
        <f t="shared" si="0"/>
        <v>5994000</v>
      </c>
      <c r="L2" s="3">
        <f t="shared" si="0"/>
        <v>75000</v>
      </c>
      <c r="M2" s="3">
        <f t="shared" si="0"/>
        <v>75000</v>
      </c>
      <c r="N2" s="3">
        <f t="shared" si="0"/>
        <v>624000</v>
      </c>
      <c r="O2" s="3">
        <f t="shared" si="0"/>
        <v>0</v>
      </c>
      <c r="P2" s="3">
        <f t="shared" si="0"/>
        <v>0</v>
      </c>
      <c r="Q2" s="3">
        <f t="shared" si="0"/>
        <v>0</v>
      </c>
      <c r="R2" s="3">
        <f t="shared" si="0"/>
        <v>0</v>
      </c>
      <c r="S2" s="3">
        <f t="shared" si="0"/>
        <v>0</v>
      </c>
      <c r="T2" s="3">
        <f t="shared" si="0"/>
        <v>115000</v>
      </c>
      <c r="U2" s="3">
        <f t="shared" si="0"/>
        <v>0</v>
      </c>
      <c r="V2" s="3">
        <f t="shared" si="0"/>
        <v>0</v>
      </c>
      <c r="W2" s="3">
        <f t="shared" si="0"/>
        <v>0</v>
      </c>
      <c r="X2" s="3">
        <f t="shared" si="0"/>
        <v>190000</v>
      </c>
      <c r="Y2" s="3">
        <f t="shared" si="0"/>
        <v>0</v>
      </c>
      <c r="Z2" s="3">
        <f t="shared" si="0"/>
        <v>80000</v>
      </c>
      <c r="AA2" s="3">
        <f t="shared" si="0"/>
        <v>0</v>
      </c>
      <c r="AB2" s="3">
        <f t="shared" si="0"/>
        <v>0</v>
      </c>
      <c r="AC2" s="3">
        <f t="shared" si="0"/>
        <v>178750</v>
      </c>
      <c r="AD2" s="3">
        <f t="shared" si="0"/>
        <v>30000</v>
      </c>
      <c r="AE2" s="3">
        <f t="shared" si="0"/>
        <v>232500</v>
      </c>
      <c r="AF2" s="3">
        <f t="shared" si="0"/>
        <v>100000</v>
      </c>
      <c r="AG2" s="3">
        <f t="shared" si="0"/>
        <v>262500</v>
      </c>
      <c r="AH2" s="3">
        <f t="shared" si="0"/>
        <v>100000</v>
      </c>
      <c r="AI2" s="3">
        <f t="shared" si="0"/>
        <v>307500</v>
      </c>
      <c r="AJ2" s="3">
        <f t="shared" si="0"/>
        <v>178750</v>
      </c>
      <c r="AK2" s="3">
        <f t="shared" si="0"/>
        <v>150000</v>
      </c>
      <c r="AL2" s="3">
        <f t="shared" si="0"/>
        <v>182500</v>
      </c>
      <c r="AM2" s="3">
        <f t="shared" si="0"/>
        <v>160000</v>
      </c>
      <c r="AN2" s="3">
        <f t="shared" si="0"/>
        <v>668750</v>
      </c>
      <c r="AO2" s="3">
        <f t="shared" si="0"/>
        <v>450000</v>
      </c>
      <c r="AP2" s="3">
        <f t="shared" si="0"/>
        <v>82500</v>
      </c>
      <c r="AQ2" s="3">
        <f t="shared" si="0"/>
        <v>0</v>
      </c>
      <c r="AR2" s="3">
        <f t="shared" si="0"/>
        <v>250000</v>
      </c>
      <c r="AS2" s="3">
        <f t="shared" si="0"/>
        <v>515000</v>
      </c>
      <c r="AT2" s="3">
        <f t="shared" si="0"/>
        <v>160000</v>
      </c>
      <c r="AU2" s="3">
        <f t="shared" si="0"/>
        <v>186250</v>
      </c>
      <c r="AV2" s="3">
        <f t="shared" si="0"/>
        <v>160000</v>
      </c>
      <c r="AW2" s="3">
        <f t="shared" si="0"/>
        <v>220000</v>
      </c>
      <c r="AX2" s="3">
        <f t="shared" si="0"/>
        <v>60000</v>
      </c>
      <c r="AY2" s="3">
        <f t="shared" si="0"/>
        <v>100000</v>
      </c>
      <c r="AZ2" s="3">
        <f t="shared" si="0"/>
        <v>100000</v>
      </c>
    </row>
    <row r="3" spans="1:52" ht="42" customHeight="1" x14ac:dyDescent="0.25">
      <c r="A3" s="9" t="s">
        <v>0</v>
      </c>
      <c r="B3" s="9" t="s">
        <v>1</v>
      </c>
      <c r="C3" s="9" t="s">
        <v>2</v>
      </c>
      <c r="D3" s="10" t="s">
        <v>80</v>
      </c>
      <c r="E3" s="9" t="s">
        <v>3</v>
      </c>
      <c r="F3" s="8" t="s">
        <v>15</v>
      </c>
      <c r="G3" s="9" t="s">
        <v>14</v>
      </c>
      <c r="H3" s="8" t="s">
        <v>16</v>
      </c>
      <c r="I3" s="9" t="s">
        <v>4</v>
      </c>
      <c r="J3" s="8" t="s">
        <v>58</v>
      </c>
      <c r="K3" s="11" t="s">
        <v>51</v>
      </c>
      <c r="L3" s="12">
        <v>45404</v>
      </c>
      <c r="M3" s="14">
        <v>45405</v>
      </c>
      <c r="N3" s="14">
        <v>45406</v>
      </c>
      <c r="O3" s="14">
        <v>45407</v>
      </c>
      <c r="P3" s="14">
        <v>45408</v>
      </c>
      <c r="Q3" s="14">
        <v>45409</v>
      </c>
      <c r="R3" s="15">
        <v>45410</v>
      </c>
      <c r="S3" s="12">
        <v>45411</v>
      </c>
      <c r="T3" s="14">
        <v>45412</v>
      </c>
      <c r="U3" s="14">
        <v>45413</v>
      </c>
      <c r="V3" s="14">
        <v>45414</v>
      </c>
      <c r="W3" s="14">
        <v>45415</v>
      </c>
      <c r="X3" s="14">
        <v>45416</v>
      </c>
      <c r="Y3" s="15">
        <v>45417</v>
      </c>
      <c r="Z3" s="12">
        <v>45418</v>
      </c>
      <c r="AA3" s="14">
        <v>45419</v>
      </c>
      <c r="AB3" s="14">
        <v>45420</v>
      </c>
      <c r="AC3" s="14">
        <v>45421</v>
      </c>
      <c r="AD3" s="14">
        <v>45422</v>
      </c>
      <c r="AE3" s="14">
        <v>45423</v>
      </c>
      <c r="AF3" s="15">
        <v>45424</v>
      </c>
      <c r="AG3" s="12">
        <v>45425</v>
      </c>
      <c r="AH3" s="14">
        <v>45426</v>
      </c>
      <c r="AI3" s="14">
        <v>45427</v>
      </c>
      <c r="AJ3" s="14">
        <v>45428</v>
      </c>
      <c r="AK3" s="14">
        <v>45429</v>
      </c>
      <c r="AL3" s="14">
        <v>45430</v>
      </c>
      <c r="AM3" s="15">
        <v>45431</v>
      </c>
      <c r="AN3" s="12">
        <v>45432</v>
      </c>
      <c r="AO3" s="14">
        <v>45433</v>
      </c>
      <c r="AP3" s="14">
        <v>45434</v>
      </c>
      <c r="AQ3" s="14">
        <v>45435</v>
      </c>
      <c r="AR3" s="14">
        <v>45436</v>
      </c>
      <c r="AS3" s="14">
        <v>45437</v>
      </c>
      <c r="AT3" s="15">
        <v>45438</v>
      </c>
      <c r="AU3" s="12">
        <v>45439</v>
      </c>
      <c r="AV3" s="14">
        <v>45440</v>
      </c>
      <c r="AW3" s="14">
        <v>45441</v>
      </c>
      <c r="AX3" s="14">
        <v>45442</v>
      </c>
      <c r="AY3" s="14">
        <v>45443</v>
      </c>
      <c r="AZ3" s="15">
        <v>45444</v>
      </c>
    </row>
    <row r="4" spans="1:52" x14ac:dyDescent="0.25">
      <c r="A4" s="2">
        <v>7692862</v>
      </c>
      <c r="B4" t="s">
        <v>41</v>
      </c>
      <c r="C4" s="2">
        <v>6012421714</v>
      </c>
      <c r="D4" s="5" t="s">
        <v>42</v>
      </c>
      <c r="E4" s="2">
        <v>9</v>
      </c>
      <c r="F4" s="2" t="s">
        <v>59</v>
      </c>
      <c r="G4" s="2" t="s">
        <v>21</v>
      </c>
      <c r="H4" s="2"/>
      <c r="I4" s="5" t="s">
        <v>6</v>
      </c>
      <c r="J4" s="3">
        <v>75000</v>
      </c>
      <c r="K4" s="3">
        <f t="shared" ref="K4:K52" si="1">SUM(L4:AZ4)</f>
        <v>75000</v>
      </c>
      <c r="L4" s="24"/>
      <c r="M4" s="25">
        <v>75000</v>
      </c>
      <c r="N4" s="25"/>
      <c r="O4" s="25"/>
      <c r="P4" s="25"/>
      <c r="Q4" s="25"/>
      <c r="R4" s="26"/>
      <c r="S4" s="24"/>
      <c r="T4" s="25"/>
      <c r="U4" s="25"/>
      <c r="V4" s="25"/>
      <c r="W4" s="25"/>
      <c r="X4" s="25"/>
      <c r="Y4" s="26"/>
      <c r="Z4" s="24"/>
      <c r="AA4" s="25"/>
      <c r="AB4" s="25"/>
      <c r="AC4" s="25"/>
      <c r="AD4" s="25"/>
      <c r="AE4" s="25"/>
      <c r="AF4" s="26"/>
      <c r="AG4" s="19"/>
      <c r="AH4"/>
      <c r="AI4"/>
      <c r="AJ4"/>
      <c r="AK4"/>
      <c r="AL4"/>
      <c r="AM4" s="20"/>
      <c r="AN4" s="19"/>
      <c r="AO4"/>
      <c r="AP4"/>
      <c r="AQ4"/>
      <c r="AR4"/>
      <c r="AS4"/>
      <c r="AT4" s="20"/>
      <c r="AU4" s="19"/>
      <c r="AV4"/>
      <c r="AW4"/>
      <c r="AX4"/>
      <c r="AY4"/>
      <c r="AZ4" s="20"/>
    </row>
    <row r="5" spans="1:52" x14ac:dyDescent="0.25">
      <c r="A5" s="2">
        <v>7692862</v>
      </c>
      <c r="B5" t="s">
        <v>41</v>
      </c>
      <c r="C5" s="2">
        <v>6012427839</v>
      </c>
      <c r="D5" t="s">
        <v>42</v>
      </c>
      <c r="E5" s="2">
        <v>9</v>
      </c>
      <c r="F5" s="2">
        <v>7</v>
      </c>
      <c r="G5" s="2" t="s">
        <v>21</v>
      </c>
      <c r="H5" s="2"/>
      <c r="I5" s="5" t="s">
        <v>6</v>
      </c>
      <c r="J5" s="3">
        <v>75000</v>
      </c>
      <c r="K5" s="3">
        <f t="shared" si="1"/>
        <v>75000</v>
      </c>
      <c r="L5" s="24">
        <v>75000</v>
      </c>
      <c r="M5" s="25"/>
      <c r="N5" s="25"/>
      <c r="O5" s="25"/>
      <c r="P5" s="25"/>
      <c r="Q5" s="25"/>
      <c r="R5" s="26"/>
      <c r="S5" s="24"/>
      <c r="T5" s="25"/>
      <c r="U5" s="25"/>
      <c r="V5" s="25"/>
      <c r="W5" s="25"/>
      <c r="X5" s="25"/>
      <c r="Y5" s="26"/>
      <c r="Z5" s="24"/>
      <c r="AA5" s="25"/>
      <c r="AB5" s="25"/>
      <c r="AC5" s="25"/>
      <c r="AD5" s="25"/>
      <c r="AE5" s="25"/>
      <c r="AF5" s="26"/>
      <c r="AG5" s="19"/>
      <c r="AH5"/>
      <c r="AI5"/>
      <c r="AJ5"/>
      <c r="AK5"/>
      <c r="AL5"/>
      <c r="AM5" s="20"/>
      <c r="AN5" s="19"/>
      <c r="AO5"/>
      <c r="AP5"/>
      <c r="AQ5"/>
      <c r="AR5"/>
      <c r="AS5"/>
      <c r="AT5" s="20"/>
      <c r="AU5" s="19"/>
      <c r="AV5"/>
      <c r="AW5"/>
      <c r="AX5"/>
      <c r="AY5"/>
      <c r="AZ5" s="20"/>
    </row>
    <row r="6" spans="1:52" x14ac:dyDescent="0.25">
      <c r="A6" s="2">
        <v>7692883</v>
      </c>
      <c r="B6" t="s">
        <v>43</v>
      </c>
      <c r="C6" s="2">
        <v>6012432903</v>
      </c>
      <c r="D6" t="s">
        <v>44</v>
      </c>
      <c r="E6" s="2">
        <v>4</v>
      </c>
      <c r="F6" s="2">
        <v>7</v>
      </c>
      <c r="G6" s="2" t="s">
        <v>5</v>
      </c>
      <c r="H6" s="2"/>
      <c r="I6" s="5" t="s">
        <v>36</v>
      </c>
      <c r="J6" s="3">
        <v>104000</v>
      </c>
      <c r="K6" s="3">
        <f t="shared" si="1"/>
        <v>104000</v>
      </c>
      <c r="L6" s="24"/>
      <c r="M6" s="25"/>
      <c r="N6" s="25">
        <v>104000</v>
      </c>
      <c r="O6" s="25"/>
      <c r="P6" s="25"/>
      <c r="Q6" s="25"/>
      <c r="R6" s="26"/>
      <c r="S6" s="24"/>
      <c r="T6" s="25"/>
      <c r="U6" s="25"/>
      <c r="V6" s="25"/>
      <c r="W6" s="25"/>
      <c r="X6" s="25"/>
      <c r="Y6" s="26"/>
      <c r="Z6" s="24"/>
      <c r="AA6" s="25"/>
      <c r="AB6" s="25"/>
      <c r="AC6" s="25"/>
      <c r="AD6" s="25"/>
      <c r="AE6" s="25"/>
      <c r="AF6" s="26"/>
      <c r="AG6" s="19"/>
      <c r="AH6"/>
      <c r="AI6"/>
      <c r="AJ6"/>
      <c r="AK6"/>
      <c r="AL6"/>
      <c r="AM6" s="20"/>
      <c r="AN6" s="19"/>
      <c r="AO6"/>
      <c r="AP6"/>
      <c r="AQ6"/>
      <c r="AR6"/>
      <c r="AS6"/>
      <c r="AT6" s="20"/>
      <c r="AU6" s="19"/>
      <c r="AV6"/>
      <c r="AW6"/>
      <c r="AX6"/>
      <c r="AY6"/>
      <c r="AZ6" s="20"/>
    </row>
    <row r="7" spans="1:52" x14ac:dyDescent="0.25">
      <c r="A7" s="2">
        <v>7692887</v>
      </c>
      <c r="B7" t="s">
        <v>45</v>
      </c>
      <c r="C7" s="2">
        <v>6012433361</v>
      </c>
      <c r="D7" t="s">
        <v>44</v>
      </c>
      <c r="E7" s="2">
        <v>2</v>
      </c>
      <c r="F7" s="2">
        <v>7</v>
      </c>
      <c r="G7" s="2" t="s">
        <v>5</v>
      </c>
      <c r="H7" s="2"/>
      <c r="I7" s="5" t="s">
        <v>36</v>
      </c>
      <c r="J7" s="3">
        <v>26000</v>
      </c>
      <c r="K7" s="3">
        <f t="shared" si="1"/>
        <v>26000</v>
      </c>
      <c r="L7" s="24"/>
      <c r="M7" s="25"/>
      <c r="N7" s="25">
        <v>26000</v>
      </c>
      <c r="O7" s="25"/>
      <c r="P7" s="25"/>
      <c r="Q7" s="25"/>
      <c r="R7" s="26"/>
      <c r="S7" s="24"/>
      <c r="T7" s="25"/>
      <c r="U7" s="25"/>
      <c r="V7" s="25"/>
      <c r="W7" s="25"/>
      <c r="X7" s="25"/>
      <c r="Y7" s="26"/>
      <c r="Z7" s="24"/>
      <c r="AA7" s="25"/>
      <c r="AB7" s="25"/>
      <c r="AC7" s="25"/>
      <c r="AD7" s="25"/>
      <c r="AE7" s="25"/>
      <c r="AF7" s="26"/>
      <c r="AG7" s="19"/>
      <c r="AH7"/>
      <c r="AI7"/>
      <c r="AJ7"/>
      <c r="AK7"/>
      <c r="AL7"/>
      <c r="AM7" s="20"/>
      <c r="AN7" s="19"/>
      <c r="AO7"/>
      <c r="AP7"/>
      <c r="AQ7"/>
      <c r="AR7"/>
      <c r="AS7"/>
      <c r="AT7" s="20"/>
      <c r="AU7" s="19"/>
      <c r="AV7"/>
      <c r="AW7"/>
      <c r="AX7"/>
      <c r="AY7"/>
      <c r="AZ7" s="20"/>
    </row>
    <row r="8" spans="1:52" x14ac:dyDescent="0.25">
      <c r="A8" s="2">
        <v>7692888</v>
      </c>
      <c r="B8" t="s">
        <v>46</v>
      </c>
      <c r="C8" s="2">
        <v>6012433458</v>
      </c>
      <c r="D8" t="s">
        <v>44</v>
      </c>
      <c r="E8" s="2">
        <v>3</v>
      </c>
      <c r="F8" s="2">
        <v>7</v>
      </c>
      <c r="G8" s="2" t="s">
        <v>5</v>
      </c>
      <c r="H8" s="2"/>
      <c r="I8" s="5" t="s">
        <v>36</v>
      </c>
      <c r="J8" s="3">
        <v>52000</v>
      </c>
      <c r="K8" s="3">
        <f t="shared" si="1"/>
        <v>52000</v>
      </c>
      <c r="L8" s="24"/>
      <c r="M8" s="25"/>
      <c r="N8" s="25">
        <v>52000</v>
      </c>
      <c r="O8" s="25"/>
      <c r="P8" s="25"/>
      <c r="Q8" s="25"/>
      <c r="R8" s="26"/>
      <c r="S8" s="24"/>
      <c r="T8" s="25"/>
      <c r="U8" s="25"/>
      <c r="V8" s="25"/>
      <c r="W8" s="25"/>
      <c r="X8" s="25"/>
      <c r="Y8" s="26"/>
      <c r="Z8" s="24"/>
      <c r="AA8" s="25"/>
      <c r="AB8" s="25"/>
      <c r="AC8" s="25"/>
      <c r="AD8" s="25"/>
      <c r="AE8" s="25"/>
      <c r="AF8" s="26"/>
      <c r="AG8" s="19"/>
      <c r="AH8"/>
      <c r="AI8"/>
      <c r="AJ8"/>
      <c r="AK8"/>
      <c r="AL8"/>
      <c r="AM8" s="20"/>
      <c r="AN8" s="19"/>
      <c r="AO8"/>
      <c r="AP8"/>
      <c r="AQ8"/>
      <c r="AR8"/>
      <c r="AS8"/>
      <c r="AT8" s="20"/>
      <c r="AU8" s="19"/>
      <c r="AV8"/>
      <c r="AW8"/>
      <c r="AX8"/>
      <c r="AY8"/>
      <c r="AZ8" s="20"/>
    </row>
    <row r="9" spans="1:52" x14ac:dyDescent="0.25">
      <c r="A9" s="2">
        <v>7692885</v>
      </c>
      <c r="B9" t="s">
        <v>47</v>
      </c>
      <c r="C9" s="2">
        <v>6012433635</v>
      </c>
      <c r="D9" t="s">
        <v>44</v>
      </c>
      <c r="E9" s="2">
        <v>9</v>
      </c>
      <c r="F9" s="2">
        <v>7</v>
      </c>
      <c r="G9" s="2" t="s">
        <v>5</v>
      </c>
      <c r="H9" s="2"/>
      <c r="I9" s="5" t="s">
        <v>36</v>
      </c>
      <c r="J9" s="3">
        <v>180000</v>
      </c>
      <c r="K9" s="3">
        <f t="shared" si="1"/>
        <v>180000</v>
      </c>
      <c r="L9" s="24"/>
      <c r="M9" s="25"/>
      <c r="N9" s="25">
        <v>180000</v>
      </c>
      <c r="O9" s="25"/>
      <c r="P9" s="25"/>
      <c r="Q9" s="25"/>
      <c r="R9" s="26"/>
      <c r="S9" s="24"/>
      <c r="T9" s="25"/>
      <c r="U9" s="25"/>
      <c r="V9" s="25"/>
      <c r="W9" s="25"/>
      <c r="X9" s="25"/>
      <c r="Y9" s="26"/>
      <c r="Z9" s="24"/>
      <c r="AA9" s="25"/>
      <c r="AB9" s="25"/>
      <c r="AC9" s="25"/>
      <c r="AD9" s="25"/>
      <c r="AE9" s="25"/>
      <c r="AF9" s="26"/>
      <c r="AG9" s="19"/>
      <c r="AH9"/>
      <c r="AI9"/>
      <c r="AJ9"/>
      <c r="AK9"/>
      <c r="AL9"/>
      <c r="AM9" s="20"/>
      <c r="AN9" s="19"/>
      <c r="AO9"/>
      <c r="AP9"/>
      <c r="AQ9"/>
      <c r="AR9"/>
      <c r="AS9"/>
      <c r="AT9" s="20"/>
      <c r="AU9" s="19"/>
      <c r="AV9"/>
      <c r="AW9"/>
      <c r="AX9"/>
      <c r="AY9"/>
      <c r="AZ9" s="20"/>
    </row>
    <row r="10" spans="1:52" x14ac:dyDescent="0.25">
      <c r="A10" s="2">
        <v>7692879</v>
      </c>
      <c r="B10" t="s">
        <v>48</v>
      </c>
      <c r="C10" s="2">
        <v>6012433792</v>
      </c>
      <c r="D10" t="s">
        <v>44</v>
      </c>
      <c r="E10" s="2">
        <v>6</v>
      </c>
      <c r="F10" s="2">
        <v>7</v>
      </c>
      <c r="G10" s="2" t="s">
        <v>5</v>
      </c>
      <c r="H10" s="2"/>
      <c r="I10" s="5" t="s">
        <v>6</v>
      </c>
      <c r="J10" s="3">
        <v>1000</v>
      </c>
      <c r="K10" s="3">
        <f t="shared" si="1"/>
        <v>1000</v>
      </c>
      <c r="L10" s="24"/>
      <c r="M10" s="25"/>
      <c r="N10" s="25">
        <v>1000</v>
      </c>
      <c r="O10" s="25"/>
      <c r="P10" s="25"/>
      <c r="Q10" s="25"/>
      <c r="R10" s="26"/>
      <c r="S10" s="24"/>
      <c r="T10" s="25"/>
      <c r="U10" s="25"/>
      <c r="V10" s="25"/>
      <c r="W10" s="25"/>
      <c r="X10" s="25"/>
      <c r="Y10" s="26"/>
      <c r="Z10" s="24"/>
      <c r="AA10" s="25"/>
      <c r="AB10" s="25"/>
      <c r="AC10" s="25"/>
      <c r="AD10" s="25"/>
      <c r="AE10" s="25"/>
      <c r="AF10" s="26"/>
      <c r="AG10" s="19"/>
      <c r="AH10"/>
      <c r="AI10"/>
      <c r="AJ10"/>
      <c r="AK10"/>
      <c r="AL10"/>
      <c r="AM10" s="20"/>
      <c r="AN10" s="19"/>
      <c r="AO10"/>
      <c r="AP10"/>
      <c r="AQ10"/>
      <c r="AR10"/>
      <c r="AS10"/>
      <c r="AT10" s="20"/>
      <c r="AU10" s="19"/>
      <c r="AV10"/>
      <c r="AW10"/>
      <c r="AX10"/>
      <c r="AY10"/>
      <c r="AZ10" s="20"/>
    </row>
    <row r="11" spans="1:52" x14ac:dyDescent="0.25">
      <c r="A11" s="2">
        <v>7692884</v>
      </c>
      <c r="B11" t="s">
        <v>49</v>
      </c>
      <c r="C11" s="2">
        <v>6012433815</v>
      </c>
      <c r="D11" t="s">
        <v>44</v>
      </c>
      <c r="E11" s="2">
        <v>6</v>
      </c>
      <c r="F11" s="2">
        <v>7</v>
      </c>
      <c r="G11" s="2" t="s">
        <v>5</v>
      </c>
      <c r="H11" s="2"/>
      <c r="I11" s="5" t="s">
        <v>36</v>
      </c>
      <c r="J11" s="3">
        <v>260000</v>
      </c>
      <c r="K11" s="3">
        <f t="shared" si="1"/>
        <v>260000</v>
      </c>
      <c r="L11" s="24"/>
      <c r="M11" s="25"/>
      <c r="N11" s="25">
        <v>260000</v>
      </c>
      <c r="O11" s="25"/>
      <c r="P11" s="25"/>
      <c r="Q11" s="25"/>
      <c r="R11" s="26"/>
      <c r="S11" s="24"/>
      <c r="T11" s="25"/>
      <c r="U11" s="25"/>
      <c r="V11" s="25"/>
      <c r="W11" s="25"/>
      <c r="X11" s="25"/>
      <c r="Y11" s="26"/>
      <c r="Z11" s="24"/>
      <c r="AA11" s="25"/>
      <c r="AB11" s="25"/>
      <c r="AC11" s="25"/>
      <c r="AD11" s="25"/>
      <c r="AE11" s="25"/>
      <c r="AF11" s="26"/>
      <c r="AG11" s="19"/>
      <c r="AH11"/>
      <c r="AI11"/>
      <c r="AJ11"/>
      <c r="AK11"/>
      <c r="AL11"/>
      <c r="AM11" s="20"/>
      <c r="AN11" s="19"/>
      <c r="AO11"/>
      <c r="AP11"/>
      <c r="AQ11"/>
      <c r="AR11"/>
      <c r="AS11"/>
      <c r="AT11" s="20"/>
      <c r="AU11" s="19"/>
      <c r="AV11"/>
      <c r="AW11"/>
      <c r="AX11"/>
      <c r="AY11"/>
      <c r="AZ11" s="20"/>
    </row>
    <row r="12" spans="1:52" x14ac:dyDescent="0.25">
      <c r="A12" s="2">
        <v>7692880</v>
      </c>
      <c r="B12" t="s">
        <v>50</v>
      </c>
      <c r="C12" s="2">
        <v>6012433828</v>
      </c>
      <c r="D12" s="5" t="s">
        <v>44</v>
      </c>
      <c r="E12" s="2">
        <v>9</v>
      </c>
      <c r="F12" s="2">
        <v>7</v>
      </c>
      <c r="G12" s="2" t="s">
        <v>5</v>
      </c>
      <c r="H12" s="2"/>
      <c r="I12" s="5" t="s">
        <v>6</v>
      </c>
      <c r="J12" s="3">
        <v>1000</v>
      </c>
      <c r="K12" s="3">
        <f t="shared" si="1"/>
        <v>1000</v>
      </c>
      <c r="L12" s="24"/>
      <c r="M12" s="25"/>
      <c r="N12" s="25">
        <v>1000</v>
      </c>
      <c r="O12" s="25"/>
      <c r="P12" s="25"/>
      <c r="Q12" s="25"/>
      <c r="R12" s="26"/>
      <c r="S12" s="24"/>
      <c r="T12" s="25"/>
      <c r="U12" s="25"/>
      <c r="V12" s="25"/>
      <c r="W12" s="25"/>
      <c r="X12" s="25"/>
      <c r="Y12" s="26"/>
      <c r="Z12" s="24"/>
      <c r="AA12" s="25"/>
      <c r="AB12" s="25"/>
      <c r="AC12" s="25"/>
      <c r="AD12" s="25"/>
      <c r="AE12" s="25"/>
      <c r="AF12" s="26"/>
      <c r="AG12" s="19"/>
      <c r="AH12"/>
      <c r="AI12"/>
      <c r="AJ12"/>
      <c r="AK12"/>
      <c r="AL12"/>
      <c r="AM12" s="20"/>
      <c r="AN12" s="19"/>
      <c r="AO12"/>
      <c r="AP12"/>
      <c r="AQ12"/>
      <c r="AR12"/>
      <c r="AS12"/>
      <c r="AT12" s="20"/>
      <c r="AU12" s="19"/>
      <c r="AV12"/>
      <c r="AW12"/>
      <c r="AX12"/>
      <c r="AY12"/>
      <c r="AZ12" s="20"/>
    </row>
    <row r="13" spans="1:52" x14ac:dyDescent="0.25">
      <c r="A13" s="2">
        <v>7692552</v>
      </c>
      <c r="B13" t="s">
        <v>25</v>
      </c>
      <c r="C13" s="2">
        <v>6012434593</v>
      </c>
      <c r="D13" s="5" t="s">
        <v>20</v>
      </c>
      <c r="E13" s="2">
        <v>9</v>
      </c>
      <c r="F13" s="2">
        <v>7</v>
      </c>
      <c r="G13" s="2" t="s">
        <v>5</v>
      </c>
      <c r="H13" s="2"/>
      <c r="I13" s="5" t="s">
        <v>6</v>
      </c>
      <c r="J13" s="3">
        <v>300000</v>
      </c>
      <c r="K13" s="3">
        <f t="shared" si="1"/>
        <v>150000</v>
      </c>
      <c r="L13" s="24"/>
      <c r="M13" s="25"/>
      <c r="N13" s="25"/>
      <c r="O13" s="25"/>
      <c r="P13" s="25"/>
      <c r="Q13" s="25"/>
      <c r="R13" s="26"/>
      <c r="S13" s="24"/>
      <c r="T13" s="25"/>
      <c r="U13" s="25"/>
      <c r="V13" s="25"/>
      <c r="W13" s="25"/>
      <c r="X13" s="25"/>
      <c r="Y13" s="26"/>
      <c r="Z13" s="24"/>
      <c r="AA13" s="25"/>
      <c r="AB13" s="25"/>
      <c r="AC13" s="25"/>
      <c r="AD13" s="25"/>
      <c r="AE13" s="25"/>
      <c r="AF13" s="26"/>
      <c r="AG13" s="19"/>
      <c r="AH13"/>
      <c r="AI13"/>
      <c r="AJ13"/>
      <c r="AK13"/>
      <c r="AL13"/>
      <c r="AM13" s="20"/>
      <c r="AN13" s="19">
        <v>150000</v>
      </c>
      <c r="AO13"/>
      <c r="AP13"/>
      <c r="AQ13"/>
      <c r="AR13"/>
      <c r="AS13"/>
      <c r="AT13" s="20"/>
      <c r="AU13" s="19"/>
      <c r="AV13"/>
      <c r="AW13"/>
      <c r="AX13"/>
      <c r="AY13"/>
      <c r="AZ13" s="20"/>
    </row>
    <row r="14" spans="1:52" x14ac:dyDescent="0.25">
      <c r="A14" s="2">
        <v>7692552</v>
      </c>
      <c r="B14" t="s">
        <v>25</v>
      </c>
      <c r="C14" s="2">
        <v>6012437331</v>
      </c>
      <c r="D14" s="5" t="s">
        <v>20</v>
      </c>
      <c r="E14" s="2">
        <v>9</v>
      </c>
      <c r="F14" s="2">
        <v>7</v>
      </c>
      <c r="G14" s="2" t="s">
        <v>5</v>
      </c>
      <c r="H14" s="2"/>
      <c r="I14" s="5" t="s">
        <v>6</v>
      </c>
      <c r="J14" s="3">
        <v>150000</v>
      </c>
      <c r="K14" s="3">
        <f t="shared" si="1"/>
        <v>150000</v>
      </c>
      <c r="L14" s="24"/>
      <c r="M14" s="25"/>
      <c r="N14" s="25"/>
      <c r="O14" s="25"/>
      <c r="P14" s="25"/>
      <c r="Q14" s="25"/>
      <c r="R14" s="26"/>
      <c r="S14" s="24"/>
      <c r="T14" s="25"/>
      <c r="U14" s="25"/>
      <c r="V14" s="25"/>
      <c r="W14" s="25"/>
      <c r="X14" s="25"/>
      <c r="Y14" s="26"/>
      <c r="Z14" s="24"/>
      <c r="AA14" s="25"/>
      <c r="AB14" s="25"/>
      <c r="AC14" s="25"/>
      <c r="AD14" s="25"/>
      <c r="AE14" s="25"/>
      <c r="AF14" s="26"/>
      <c r="AG14" s="19"/>
      <c r="AH14"/>
      <c r="AI14"/>
      <c r="AJ14"/>
      <c r="AK14"/>
      <c r="AL14"/>
      <c r="AM14" s="20"/>
      <c r="AN14" s="19"/>
      <c r="AO14"/>
      <c r="AP14"/>
      <c r="AQ14"/>
      <c r="AR14">
        <v>150000</v>
      </c>
      <c r="AS14"/>
      <c r="AT14" s="20"/>
      <c r="AU14" s="19"/>
      <c r="AV14"/>
      <c r="AW14"/>
      <c r="AX14"/>
      <c r="AY14"/>
      <c r="AZ14" s="20"/>
    </row>
    <row r="15" spans="1:52" x14ac:dyDescent="0.25">
      <c r="A15" s="2">
        <v>7692552</v>
      </c>
      <c r="B15" t="s">
        <v>25</v>
      </c>
      <c r="C15" s="2">
        <v>6012438015</v>
      </c>
      <c r="D15" s="5" t="s">
        <v>20</v>
      </c>
      <c r="E15" s="2">
        <v>9</v>
      </c>
      <c r="F15" s="2">
        <v>7</v>
      </c>
      <c r="G15" s="2" t="s">
        <v>5</v>
      </c>
      <c r="H15" s="2"/>
      <c r="I15" s="5" t="s">
        <v>6</v>
      </c>
      <c r="J15" s="3">
        <v>300000</v>
      </c>
      <c r="K15" s="3">
        <f t="shared" si="1"/>
        <v>150000</v>
      </c>
      <c r="L15" s="24"/>
      <c r="M15" s="25"/>
      <c r="N15" s="25"/>
      <c r="O15" s="25"/>
      <c r="P15" s="25"/>
      <c r="Q15" s="25"/>
      <c r="R15" s="26"/>
      <c r="S15" s="24"/>
      <c r="T15" s="25"/>
      <c r="U15" s="25"/>
      <c r="V15" s="25"/>
      <c r="W15" s="25"/>
      <c r="X15" s="25"/>
      <c r="Y15" s="26"/>
      <c r="Z15" s="24"/>
      <c r="AA15" s="25"/>
      <c r="AB15" s="25"/>
      <c r="AC15" s="25"/>
      <c r="AD15" s="25"/>
      <c r="AE15" s="25"/>
      <c r="AF15" s="26"/>
      <c r="AG15" s="19"/>
      <c r="AH15"/>
      <c r="AI15"/>
      <c r="AJ15">
        <v>150000</v>
      </c>
      <c r="AK15"/>
      <c r="AL15"/>
      <c r="AM15" s="20"/>
      <c r="AN15" s="19"/>
      <c r="AO15"/>
      <c r="AP15"/>
      <c r="AQ15"/>
      <c r="AR15"/>
      <c r="AS15"/>
      <c r="AT15" s="20"/>
      <c r="AU15" s="19"/>
      <c r="AV15"/>
      <c r="AW15"/>
      <c r="AX15"/>
      <c r="AY15"/>
      <c r="AZ15" s="20"/>
    </row>
    <row r="16" spans="1:52" x14ac:dyDescent="0.25">
      <c r="A16" s="2">
        <v>7692552</v>
      </c>
      <c r="B16" t="s">
        <v>26</v>
      </c>
      <c r="C16" s="2">
        <v>6012437394</v>
      </c>
      <c r="D16" s="5" t="s">
        <v>17</v>
      </c>
      <c r="E16" s="2">
        <v>9</v>
      </c>
      <c r="F16" s="2">
        <v>7</v>
      </c>
      <c r="G16" s="2" t="s">
        <v>5</v>
      </c>
      <c r="H16" s="2"/>
      <c r="I16" s="5" t="s">
        <v>6</v>
      </c>
      <c r="J16" s="3">
        <v>200000</v>
      </c>
      <c r="K16" s="3">
        <f t="shared" si="1"/>
        <v>200000</v>
      </c>
      <c r="L16" s="24"/>
      <c r="M16" s="25"/>
      <c r="N16" s="25"/>
      <c r="O16" s="25"/>
      <c r="P16" s="25"/>
      <c r="Q16" s="25"/>
      <c r="R16" s="26"/>
      <c r="S16" s="24"/>
      <c r="T16" s="25"/>
      <c r="U16" s="25"/>
      <c r="V16" s="25"/>
      <c r="W16" s="25"/>
      <c r="X16" s="25"/>
      <c r="Y16" s="26"/>
      <c r="Z16" s="24"/>
      <c r="AA16" s="25"/>
      <c r="AB16" s="25"/>
      <c r="AC16" s="25"/>
      <c r="AD16" s="25"/>
      <c r="AE16" s="25"/>
      <c r="AF16" s="26"/>
      <c r="AG16" s="19"/>
      <c r="AH16"/>
      <c r="AI16"/>
      <c r="AJ16"/>
      <c r="AK16"/>
      <c r="AL16"/>
      <c r="AM16" s="20"/>
      <c r="AN16" s="19"/>
      <c r="AO16">
        <v>100000</v>
      </c>
      <c r="AP16"/>
      <c r="AQ16"/>
      <c r="AR16"/>
      <c r="AS16"/>
      <c r="AT16" s="20"/>
      <c r="AU16" s="19"/>
      <c r="AV16"/>
      <c r="AW16"/>
      <c r="AX16"/>
      <c r="AY16"/>
      <c r="AZ16" s="20">
        <v>100000</v>
      </c>
    </row>
    <row r="17" spans="1:52" x14ac:dyDescent="0.25">
      <c r="A17" s="2">
        <v>7692552</v>
      </c>
      <c r="B17" t="s">
        <v>60</v>
      </c>
      <c r="C17" s="2">
        <v>6012413978</v>
      </c>
      <c r="D17" s="5" t="s">
        <v>17</v>
      </c>
      <c r="E17" s="2">
        <v>9</v>
      </c>
      <c r="F17" s="2">
        <v>7</v>
      </c>
      <c r="G17" s="2" t="s">
        <v>5</v>
      </c>
      <c r="H17" s="2"/>
      <c r="I17" s="5" t="s">
        <v>6</v>
      </c>
      <c r="J17" s="3">
        <v>200000</v>
      </c>
      <c r="K17" s="3">
        <f t="shared" si="1"/>
        <v>180000</v>
      </c>
      <c r="L17" s="24"/>
      <c r="M17" s="25"/>
      <c r="N17" s="25"/>
      <c r="O17" s="25"/>
      <c r="P17" s="25"/>
      <c r="Q17" s="25"/>
      <c r="R17" s="26"/>
      <c r="S17" s="24"/>
      <c r="T17" s="25"/>
      <c r="U17" s="25"/>
      <c r="V17" s="25"/>
      <c r="W17" s="25"/>
      <c r="X17" s="25"/>
      <c r="Y17" s="26"/>
      <c r="Z17" s="24"/>
      <c r="AA17" s="25"/>
      <c r="AB17" s="25"/>
      <c r="AC17" s="25"/>
      <c r="AD17" s="25"/>
      <c r="AE17" s="25"/>
      <c r="AF17" s="26"/>
      <c r="AG17" s="19"/>
      <c r="AH17">
        <v>100000</v>
      </c>
      <c r="AI17"/>
      <c r="AJ17"/>
      <c r="AK17"/>
      <c r="AL17"/>
      <c r="AM17" s="20"/>
      <c r="AN17" s="19"/>
      <c r="AO17"/>
      <c r="AP17"/>
      <c r="AQ17"/>
      <c r="AR17"/>
      <c r="AS17"/>
      <c r="AT17" s="20"/>
      <c r="AU17" s="19"/>
      <c r="AV17">
        <v>80000</v>
      </c>
      <c r="AW17"/>
      <c r="AX17"/>
      <c r="AY17"/>
      <c r="AZ17" s="20"/>
    </row>
    <row r="18" spans="1:52" x14ac:dyDescent="0.25">
      <c r="A18" s="2">
        <v>7692794</v>
      </c>
      <c r="B18" t="s">
        <v>81</v>
      </c>
      <c r="C18" s="2">
        <v>6012445706</v>
      </c>
      <c r="D18" s="5" t="s">
        <v>61</v>
      </c>
      <c r="E18" s="2">
        <v>9</v>
      </c>
      <c r="F18" s="2">
        <v>7</v>
      </c>
      <c r="G18" s="2" t="s">
        <v>5</v>
      </c>
      <c r="H18" s="2"/>
      <c r="I18" s="5" t="s">
        <v>6</v>
      </c>
      <c r="J18" s="3">
        <v>165000</v>
      </c>
      <c r="K18" s="3">
        <f t="shared" si="1"/>
        <v>165000</v>
      </c>
      <c r="L18" s="24"/>
      <c r="M18" s="25"/>
      <c r="N18" s="25"/>
      <c r="O18" s="25"/>
      <c r="P18" s="25"/>
      <c r="Q18" s="25"/>
      <c r="R18" s="26"/>
      <c r="S18" s="24"/>
      <c r="T18" s="25"/>
      <c r="U18" s="25"/>
      <c r="V18" s="25"/>
      <c r="W18" s="25"/>
      <c r="X18" s="25"/>
      <c r="Y18" s="26"/>
      <c r="Z18" s="24"/>
      <c r="AA18" s="25"/>
      <c r="AB18" s="25"/>
      <c r="AC18" s="25"/>
      <c r="AD18" s="25"/>
      <c r="AE18" s="25"/>
      <c r="AF18" s="26"/>
      <c r="AG18" s="19"/>
      <c r="AH18"/>
      <c r="AI18"/>
      <c r="AJ18"/>
      <c r="AK18"/>
      <c r="AL18"/>
      <c r="AM18" s="20"/>
      <c r="AN18" s="19">
        <v>82500</v>
      </c>
      <c r="AO18"/>
      <c r="AP18"/>
      <c r="AQ18"/>
      <c r="AR18"/>
      <c r="AS18"/>
      <c r="AT18" s="20"/>
      <c r="AU18" s="19"/>
      <c r="AV18"/>
      <c r="AW18">
        <v>82500</v>
      </c>
      <c r="AX18"/>
      <c r="AY18"/>
      <c r="AZ18" s="20"/>
    </row>
    <row r="19" spans="1:52" x14ac:dyDescent="0.25">
      <c r="A19" s="2">
        <v>7692794</v>
      </c>
      <c r="B19" t="s">
        <v>81</v>
      </c>
      <c r="C19" s="2">
        <v>6012448084</v>
      </c>
      <c r="D19" s="5" t="s">
        <v>61</v>
      </c>
      <c r="E19" s="2">
        <v>9</v>
      </c>
      <c r="F19" s="2">
        <v>7</v>
      </c>
      <c r="G19" s="2" t="s">
        <v>5</v>
      </c>
      <c r="H19" s="2"/>
      <c r="I19" s="5" t="s">
        <v>6</v>
      </c>
      <c r="J19" s="3">
        <v>137500</v>
      </c>
      <c r="K19" s="3">
        <f t="shared" si="1"/>
        <v>137500</v>
      </c>
      <c r="L19" s="24"/>
      <c r="M19" s="25"/>
      <c r="N19" s="25"/>
      <c r="O19" s="25"/>
      <c r="P19" s="25"/>
      <c r="Q19" s="25"/>
      <c r="R19" s="26"/>
      <c r="S19" s="24"/>
      <c r="T19" s="25"/>
      <c r="U19" s="25"/>
      <c r="V19" s="25"/>
      <c r="W19" s="25"/>
      <c r="X19" s="25"/>
      <c r="Y19" s="26"/>
      <c r="Z19" s="24"/>
      <c r="AA19" s="25"/>
      <c r="AB19" s="25"/>
      <c r="AC19" s="25"/>
      <c r="AD19" s="25"/>
      <c r="AE19" s="25"/>
      <c r="AF19" s="26"/>
      <c r="AG19" s="19"/>
      <c r="AH19"/>
      <c r="AI19"/>
      <c r="AJ19"/>
      <c r="AK19"/>
      <c r="AL19"/>
      <c r="AM19" s="20"/>
      <c r="AN19" s="19"/>
      <c r="AO19"/>
      <c r="AP19"/>
      <c r="AQ19"/>
      <c r="AR19"/>
      <c r="AS19">
        <v>55000</v>
      </c>
      <c r="AT19" s="20"/>
      <c r="AU19" s="19"/>
      <c r="AV19"/>
      <c r="AW19">
        <v>82500</v>
      </c>
      <c r="AX19"/>
      <c r="AY19"/>
      <c r="AZ19" s="20"/>
    </row>
    <row r="20" spans="1:52" x14ac:dyDescent="0.25">
      <c r="A20" s="2">
        <v>7692794</v>
      </c>
      <c r="B20" t="s">
        <v>82</v>
      </c>
      <c r="C20" s="2">
        <v>6012445707</v>
      </c>
      <c r="D20" s="5" t="s">
        <v>39</v>
      </c>
      <c r="E20" s="2">
        <v>9</v>
      </c>
      <c r="F20" s="2">
        <v>7</v>
      </c>
      <c r="G20" s="2" t="s">
        <v>5</v>
      </c>
      <c r="H20" s="2"/>
      <c r="I20" s="5" t="s">
        <v>6</v>
      </c>
      <c r="J20" s="3">
        <v>83750</v>
      </c>
      <c r="K20" s="3">
        <f t="shared" si="1"/>
        <v>82500</v>
      </c>
      <c r="L20" s="24"/>
      <c r="M20" s="25"/>
      <c r="N20" s="25"/>
      <c r="O20" s="25"/>
      <c r="P20" s="25"/>
      <c r="Q20" s="25"/>
      <c r="R20" s="26"/>
      <c r="S20" s="24"/>
      <c r="T20" s="25"/>
      <c r="U20" s="25"/>
      <c r="V20" s="25"/>
      <c r="W20" s="25"/>
      <c r="X20" s="25"/>
      <c r="Y20" s="26"/>
      <c r="Z20" s="24"/>
      <c r="AA20" s="25"/>
      <c r="AB20" s="25"/>
      <c r="AC20" s="25"/>
      <c r="AD20" s="25"/>
      <c r="AE20" s="25"/>
      <c r="AF20" s="26"/>
      <c r="AG20" s="19"/>
      <c r="AH20"/>
      <c r="AI20">
        <v>82500</v>
      </c>
      <c r="AJ20"/>
      <c r="AK20"/>
      <c r="AL20"/>
      <c r="AM20" s="20"/>
      <c r="AN20" s="19"/>
      <c r="AO20"/>
      <c r="AP20"/>
      <c r="AQ20"/>
      <c r="AR20"/>
      <c r="AS20"/>
      <c r="AT20" s="20"/>
      <c r="AU20" s="19"/>
      <c r="AV20"/>
      <c r="AW20"/>
      <c r="AX20"/>
      <c r="AY20"/>
      <c r="AZ20" s="20"/>
    </row>
    <row r="21" spans="1:52" x14ac:dyDescent="0.25">
      <c r="A21" s="2">
        <v>7692794</v>
      </c>
      <c r="B21" t="s">
        <v>82</v>
      </c>
      <c r="C21" s="2">
        <v>6012445708</v>
      </c>
      <c r="D21" s="5" t="s">
        <v>39</v>
      </c>
      <c r="E21" s="2">
        <v>9</v>
      </c>
      <c r="F21" s="2">
        <v>7</v>
      </c>
      <c r="G21" s="2" t="s">
        <v>5</v>
      </c>
      <c r="H21" s="2"/>
      <c r="I21" s="5" t="s">
        <v>6</v>
      </c>
      <c r="J21" s="3">
        <v>247500</v>
      </c>
      <c r="K21" s="3">
        <f t="shared" si="1"/>
        <v>137500</v>
      </c>
      <c r="L21" s="24"/>
      <c r="M21" s="25"/>
      <c r="N21" s="25"/>
      <c r="O21" s="25"/>
      <c r="P21" s="25"/>
      <c r="Q21" s="25"/>
      <c r="R21" s="26"/>
      <c r="S21" s="24"/>
      <c r="T21" s="25"/>
      <c r="U21" s="25"/>
      <c r="V21" s="25"/>
      <c r="W21" s="25"/>
      <c r="X21" s="25"/>
      <c r="Y21" s="26"/>
      <c r="Z21" s="24"/>
      <c r="AA21" s="25"/>
      <c r="AB21" s="25"/>
      <c r="AC21" s="25"/>
      <c r="AD21" s="25"/>
      <c r="AE21" s="25">
        <v>82500</v>
      </c>
      <c r="AF21" s="26"/>
      <c r="AG21" s="19"/>
      <c r="AH21"/>
      <c r="AI21"/>
      <c r="AJ21"/>
      <c r="AK21"/>
      <c r="AL21"/>
      <c r="AM21" s="20"/>
      <c r="AN21" s="19"/>
      <c r="AO21"/>
      <c r="AP21"/>
      <c r="AQ21"/>
      <c r="AR21"/>
      <c r="AS21"/>
      <c r="AT21" s="20"/>
      <c r="AU21" s="19"/>
      <c r="AV21"/>
      <c r="AW21">
        <v>55000</v>
      </c>
      <c r="AX21"/>
      <c r="AY21"/>
      <c r="AZ21" s="20"/>
    </row>
    <row r="22" spans="1:52" x14ac:dyDescent="0.25">
      <c r="A22" s="2">
        <v>7692794</v>
      </c>
      <c r="B22" t="s">
        <v>82</v>
      </c>
      <c r="C22" s="2">
        <v>6012448365</v>
      </c>
      <c r="D22" s="5" t="s">
        <v>39</v>
      </c>
      <c r="E22" s="2">
        <v>9</v>
      </c>
      <c r="F22" s="2">
        <v>7</v>
      </c>
      <c r="G22" s="2" t="s">
        <v>5</v>
      </c>
      <c r="H22" s="2"/>
      <c r="I22" s="5" t="s">
        <v>6</v>
      </c>
      <c r="J22" s="3">
        <v>192500</v>
      </c>
      <c r="K22" s="3">
        <f t="shared" si="1"/>
        <v>192500</v>
      </c>
      <c r="L22" s="24"/>
      <c r="M22" s="25"/>
      <c r="N22" s="25"/>
      <c r="O22" s="25"/>
      <c r="P22" s="25"/>
      <c r="Q22" s="25"/>
      <c r="R22" s="26"/>
      <c r="S22" s="24"/>
      <c r="T22" s="25"/>
      <c r="U22" s="25"/>
      <c r="V22" s="25"/>
      <c r="W22" s="25"/>
      <c r="X22" s="25"/>
      <c r="Y22" s="26"/>
      <c r="Z22" s="24"/>
      <c r="AA22" s="25"/>
      <c r="AB22" s="25"/>
      <c r="AC22" s="25"/>
      <c r="AD22" s="25"/>
      <c r="AE22" s="25"/>
      <c r="AF22" s="26"/>
      <c r="AG22" s="19"/>
      <c r="AH22"/>
      <c r="AI22"/>
      <c r="AJ22"/>
      <c r="AK22"/>
      <c r="AL22"/>
      <c r="AM22" s="20"/>
      <c r="AN22" s="19"/>
      <c r="AO22"/>
      <c r="AP22">
        <v>82500</v>
      </c>
      <c r="AQ22"/>
      <c r="AR22"/>
      <c r="AS22">
        <v>55000</v>
      </c>
      <c r="AT22" s="20"/>
      <c r="AU22" s="19">
        <v>55000</v>
      </c>
      <c r="AV22"/>
      <c r="AW22"/>
      <c r="AX22"/>
      <c r="AY22"/>
      <c r="AZ22" s="20"/>
    </row>
    <row r="23" spans="1:52" x14ac:dyDescent="0.25">
      <c r="A23" s="2">
        <v>7692794</v>
      </c>
      <c r="B23" t="s">
        <v>62</v>
      </c>
      <c r="C23" s="2">
        <v>6012448267</v>
      </c>
      <c r="D23" s="5" t="s">
        <v>34</v>
      </c>
      <c r="E23" s="2">
        <v>9</v>
      </c>
      <c r="F23" s="2">
        <v>7</v>
      </c>
      <c r="G23" s="2" t="s">
        <v>5</v>
      </c>
      <c r="H23" s="2"/>
      <c r="I23" s="5" t="s">
        <v>6</v>
      </c>
      <c r="J23" s="3">
        <v>110000</v>
      </c>
      <c r="K23" s="3">
        <f t="shared" si="1"/>
        <v>110000</v>
      </c>
      <c r="L23" s="24"/>
      <c r="M23" s="25"/>
      <c r="N23" s="25"/>
      <c r="O23" s="25"/>
      <c r="P23" s="25"/>
      <c r="Q23" s="25"/>
      <c r="R23" s="26"/>
      <c r="S23" s="24"/>
      <c r="T23" s="25"/>
      <c r="U23" s="25"/>
      <c r="V23" s="25"/>
      <c r="W23" s="25"/>
      <c r="X23" s="25"/>
      <c r="Y23" s="26"/>
      <c r="Z23" s="24"/>
      <c r="AA23" s="25"/>
      <c r="AB23" s="25"/>
      <c r="AC23" s="25"/>
      <c r="AD23" s="25"/>
      <c r="AE23" s="25"/>
      <c r="AF23" s="26"/>
      <c r="AG23" s="19">
        <v>55000</v>
      </c>
      <c r="AH23"/>
      <c r="AI23"/>
      <c r="AJ23"/>
      <c r="AK23"/>
      <c r="AL23"/>
      <c r="AM23" s="20"/>
      <c r="AN23" s="19"/>
      <c r="AO23"/>
      <c r="AP23"/>
      <c r="AQ23"/>
      <c r="AR23"/>
      <c r="AS23">
        <v>55000</v>
      </c>
      <c r="AT23" s="20"/>
      <c r="AU23" s="19"/>
      <c r="AV23"/>
      <c r="AW23"/>
      <c r="AX23"/>
      <c r="AY23"/>
      <c r="AZ23" s="20"/>
    </row>
    <row r="24" spans="1:52" x14ac:dyDescent="0.25">
      <c r="A24" s="2">
        <v>7692794</v>
      </c>
      <c r="B24" t="s">
        <v>62</v>
      </c>
      <c r="C24" s="2">
        <v>6012448268</v>
      </c>
      <c r="D24" s="5" t="s">
        <v>34</v>
      </c>
      <c r="E24" s="2">
        <v>9</v>
      </c>
      <c r="F24" s="2">
        <v>7</v>
      </c>
      <c r="G24" s="2" t="s">
        <v>5</v>
      </c>
      <c r="H24" s="2"/>
      <c r="I24" s="5" t="s">
        <v>6</v>
      </c>
      <c r="J24" s="3">
        <v>110000</v>
      </c>
      <c r="K24" s="3">
        <f t="shared" si="1"/>
        <v>55000</v>
      </c>
      <c r="L24" s="24"/>
      <c r="M24" s="25"/>
      <c r="N24" s="25"/>
      <c r="O24" s="25"/>
      <c r="P24" s="25"/>
      <c r="Q24" s="25"/>
      <c r="R24" s="26"/>
      <c r="S24" s="24"/>
      <c r="T24" s="25"/>
      <c r="U24" s="25"/>
      <c r="V24" s="25"/>
      <c r="W24" s="25"/>
      <c r="X24" s="25"/>
      <c r="Y24" s="26"/>
      <c r="Z24" s="24"/>
      <c r="AA24" s="25"/>
      <c r="AB24" s="25"/>
      <c r="AC24" s="25"/>
      <c r="AD24" s="25"/>
      <c r="AE24" s="25"/>
      <c r="AF24" s="26"/>
      <c r="AG24" s="19"/>
      <c r="AH24"/>
      <c r="AI24"/>
      <c r="AJ24"/>
      <c r="AK24">
        <v>55000</v>
      </c>
      <c r="AL24"/>
      <c r="AM24" s="20"/>
      <c r="AN24" s="19"/>
      <c r="AO24"/>
      <c r="AP24"/>
      <c r="AQ24"/>
      <c r="AR24"/>
      <c r="AS24"/>
      <c r="AT24" s="20"/>
      <c r="AU24" s="19"/>
      <c r="AV24"/>
      <c r="AW24"/>
      <c r="AX24"/>
      <c r="AY24"/>
      <c r="AZ24" s="20"/>
    </row>
    <row r="25" spans="1:52" x14ac:dyDescent="0.25">
      <c r="A25" s="2">
        <v>7600127</v>
      </c>
      <c r="B25" t="s">
        <v>29</v>
      </c>
      <c r="C25" s="2">
        <v>6012446538</v>
      </c>
      <c r="D25" s="5" t="s">
        <v>28</v>
      </c>
      <c r="E25" s="2">
        <v>12</v>
      </c>
      <c r="F25" s="2">
        <v>7</v>
      </c>
      <c r="G25" s="2" t="s">
        <v>5</v>
      </c>
      <c r="H25" s="2"/>
      <c r="I25" s="5" t="s">
        <v>6</v>
      </c>
      <c r="J25" s="3">
        <v>200000</v>
      </c>
      <c r="K25" s="3">
        <f t="shared" si="1"/>
        <v>100000</v>
      </c>
      <c r="L25" s="24"/>
      <c r="M25" s="25"/>
      <c r="N25" s="25"/>
      <c r="O25" s="25"/>
      <c r="P25" s="25"/>
      <c r="Q25" s="25"/>
      <c r="R25" s="26"/>
      <c r="S25" s="24"/>
      <c r="T25" s="25"/>
      <c r="U25" s="25"/>
      <c r="V25" s="25"/>
      <c r="W25" s="25"/>
      <c r="X25" s="25"/>
      <c r="Y25" s="26"/>
      <c r="Z25" s="24"/>
      <c r="AA25" s="25"/>
      <c r="AB25" s="25"/>
      <c r="AC25" s="25"/>
      <c r="AD25" s="25"/>
      <c r="AE25" s="25"/>
      <c r="AF25" s="26"/>
      <c r="AG25" s="19"/>
      <c r="AH25"/>
      <c r="AI25"/>
      <c r="AJ25"/>
      <c r="AK25"/>
      <c r="AL25">
        <v>100000</v>
      </c>
      <c r="AM25" s="20"/>
      <c r="AN25" s="19"/>
      <c r="AO25"/>
      <c r="AP25"/>
      <c r="AQ25"/>
      <c r="AR25"/>
      <c r="AS25"/>
      <c r="AT25" s="20"/>
      <c r="AU25" s="19"/>
      <c r="AV25"/>
      <c r="AW25"/>
      <c r="AX25"/>
      <c r="AY25"/>
      <c r="AZ25" s="20"/>
    </row>
    <row r="26" spans="1:52" x14ac:dyDescent="0.25">
      <c r="A26" s="2">
        <v>7600127</v>
      </c>
      <c r="B26" t="s">
        <v>29</v>
      </c>
      <c r="C26" s="2">
        <v>6012446539</v>
      </c>
      <c r="D26" s="5" t="s">
        <v>28</v>
      </c>
      <c r="E26" s="2">
        <v>12</v>
      </c>
      <c r="F26" s="2">
        <v>7</v>
      </c>
      <c r="G26" s="2" t="s">
        <v>5</v>
      </c>
      <c r="H26" s="2"/>
      <c r="I26" s="5" t="s">
        <v>6</v>
      </c>
      <c r="J26" s="3">
        <v>250000</v>
      </c>
      <c r="K26" s="3">
        <f t="shared" si="1"/>
        <v>250000</v>
      </c>
      <c r="L26" s="24"/>
      <c r="M26" s="25"/>
      <c r="N26" s="25"/>
      <c r="O26" s="25"/>
      <c r="P26" s="25"/>
      <c r="Q26" s="25"/>
      <c r="R26" s="26"/>
      <c r="S26" s="24"/>
      <c r="T26" s="25"/>
      <c r="U26" s="25"/>
      <c r="V26" s="25"/>
      <c r="W26" s="25"/>
      <c r="X26" s="25"/>
      <c r="Y26" s="26"/>
      <c r="Z26" s="24"/>
      <c r="AA26" s="25"/>
      <c r="AB26" s="25"/>
      <c r="AC26" s="25"/>
      <c r="AD26" s="25"/>
      <c r="AE26" s="25">
        <v>150000</v>
      </c>
      <c r="AF26" s="26"/>
      <c r="AG26" s="19"/>
      <c r="AH26"/>
      <c r="AI26"/>
      <c r="AJ26"/>
      <c r="AK26"/>
      <c r="AL26"/>
      <c r="AM26" s="20"/>
      <c r="AN26" s="19"/>
      <c r="AO26"/>
      <c r="AP26"/>
      <c r="AQ26"/>
      <c r="AR26">
        <v>100000</v>
      </c>
      <c r="AS26"/>
      <c r="AT26" s="20"/>
      <c r="AU26" s="19"/>
      <c r="AV26"/>
      <c r="AW26"/>
      <c r="AX26"/>
      <c r="AY26"/>
      <c r="AZ26" s="20"/>
    </row>
    <row r="27" spans="1:52" x14ac:dyDescent="0.25">
      <c r="A27" s="2">
        <v>7692557</v>
      </c>
      <c r="B27" t="s">
        <v>22</v>
      </c>
      <c r="C27" s="2">
        <v>6012437670</v>
      </c>
      <c r="D27" s="5" t="s">
        <v>23</v>
      </c>
      <c r="E27" s="2">
        <v>6</v>
      </c>
      <c r="F27" s="2">
        <v>7</v>
      </c>
      <c r="G27" s="2" t="s">
        <v>5</v>
      </c>
      <c r="H27" s="2"/>
      <c r="I27" s="5" t="s">
        <v>6</v>
      </c>
      <c r="J27" s="3">
        <v>160000</v>
      </c>
      <c r="K27" s="3">
        <f t="shared" si="1"/>
        <v>80000</v>
      </c>
      <c r="L27" s="24"/>
      <c r="M27" s="25"/>
      <c r="N27" s="25"/>
      <c r="O27" s="25"/>
      <c r="P27" s="25"/>
      <c r="Q27" s="25"/>
      <c r="R27" s="26"/>
      <c r="S27" s="24"/>
      <c r="T27" s="25"/>
      <c r="U27" s="25"/>
      <c r="V27" s="25"/>
      <c r="W27" s="25"/>
      <c r="X27" s="25"/>
      <c r="Y27" s="26"/>
      <c r="Z27" s="24"/>
      <c r="AA27" s="25"/>
      <c r="AB27" s="25"/>
      <c r="AC27" s="25"/>
      <c r="AD27" s="25"/>
      <c r="AE27" s="25"/>
      <c r="AF27" s="26"/>
      <c r="AG27" s="19"/>
      <c r="AH27"/>
      <c r="AI27"/>
      <c r="AJ27"/>
      <c r="AK27"/>
      <c r="AL27"/>
      <c r="AM27" s="20"/>
      <c r="AN27" s="19"/>
      <c r="AO27"/>
      <c r="AP27"/>
      <c r="AQ27"/>
      <c r="AR27"/>
      <c r="AS27"/>
      <c r="AT27" s="20"/>
      <c r="AU27" s="19"/>
      <c r="AV27">
        <v>80000</v>
      </c>
      <c r="AW27"/>
      <c r="AX27"/>
      <c r="AY27"/>
      <c r="AZ27" s="20"/>
    </row>
    <row r="28" spans="1:52" x14ac:dyDescent="0.25">
      <c r="A28" s="2">
        <v>7692560</v>
      </c>
      <c r="B28" t="s">
        <v>30</v>
      </c>
      <c r="C28" s="2">
        <v>6012437994</v>
      </c>
      <c r="D28" s="5" t="s">
        <v>31</v>
      </c>
      <c r="E28" s="2">
        <v>12</v>
      </c>
      <c r="F28" s="2">
        <v>7</v>
      </c>
      <c r="G28" s="2" t="s">
        <v>5</v>
      </c>
      <c r="H28" s="2"/>
      <c r="I28" s="5" t="s">
        <v>6</v>
      </c>
      <c r="J28" s="3">
        <v>130000</v>
      </c>
      <c r="K28" s="3">
        <f t="shared" si="1"/>
        <v>130000</v>
      </c>
      <c r="L28" s="24"/>
      <c r="M28" s="25"/>
      <c r="N28" s="25"/>
      <c r="O28" s="25"/>
      <c r="P28" s="25"/>
      <c r="Q28" s="25"/>
      <c r="R28" s="26"/>
      <c r="S28" s="24"/>
      <c r="T28" s="25"/>
      <c r="U28" s="25"/>
      <c r="V28" s="25"/>
      <c r="W28" s="25"/>
      <c r="X28" s="25"/>
      <c r="Y28" s="26"/>
      <c r="Z28" s="24"/>
      <c r="AA28" s="25"/>
      <c r="AB28" s="25"/>
      <c r="AC28" s="25"/>
      <c r="AD28" s="25"/>
      <c r="AE28" s="25"/>
      <c r="AF28" s="26"/>
      <c r="AG28" s="19"/>
      <c r="AH28"/>
      <c r="AI28"/>
      <c r="AJ28"/>
      <c r="AK28"/>
      <c r="AL28"/>
      <c r="AM28" s="20"/>
      <c r="AN28" s="19">
        <v>80000</v>
      </c>
      <c r="AO28"/>
      <c r="AP28"/>
      <c r="AQ28"/>
      <c r="AR28"/>
      <c r="AS28"/>
      <c r="AT28" s="20"/>
      <c r="AU28" s="19"/>
      <c r="AV28"/>
      <c r="AW28"/>
      <c r="AX28"/>
      <c r="AY28">
        <v>50000</v>
      </c>
      <c r="AZ28" s="20"/>
    </row>
    <row r="29" spans="1:52" x14ac:dyDescent="0.25">
      <c r="A29" s="2">
        <v>7692560</v>
      </c>
      <c r="B29" t="s">
        <v>30</v>
      </c>
      <c r="C29" s="2">
        <v>6012438028</v>
      </c>
      <c r="D29" s="5" t="s">
        <v>33</v>
      </c>
      <c r="E29" s="2">
        <v>12</v>
      </c>
      <c r="F29" s="2">
        <v>7</v>
      </c>
      <c r="G29" s="2" t="s">
        <v>5</v>
      </c>
      <c r="H29" s="2"/>
      <c r="I29" s="5" t="s">
        <v>6</v>
      </c>
      <c r="J29" s="3">
        <v>180000</v>
      </c>
      <c r="K29" s="3">
        <f t="shared" si="1"/>
        <v>120000</v>
      </c>
      <c r="L29" s="24"/>
      <c r="M29" s="25"/>
      <c r="N29" s="25"/>
      <c r="O29" s="25"/>
      <c r="P29" s="25"/>
      <c r="Q29" s="25"/>
      <c r="R29" s="26"/>
      <c r="S29" s="24"/>
      <c r="T29" s="25"/>
      <c r="U29" s="25"/>
      <c r="V29" s="25"/>
      <c r="W29" s="25"/>
      <c r="X29" s="25"/>
      <c r="Y29" s="26"/>
      <c r="Z29" s="24"/>
      <c r="AA29" s="25"/>
      <c r="AB29" s="25"/>
      <c r="AC29" s="25"/>
      <c r="AD29" s="25"/>
      <c r="AE29" s="25"/>
      <c r="AF29" s="26"/>
      <c r="AG29" s="19"/>
      <c r="AH29"/>
      <c r="AI29"/>
      <c r="AJ29"/>
      <c r="AK29"/>
      <c r="AL29"/>
      <c r="AM29" s="20"/>
      <c r="AN29" s="19">
        <v>60000</v>
      </c>
      <c r="AO29"/>
      <c r="AP29"/>
      <c r="AQ29"/>
      <c r="AR29"/>
      <c r="AS29"/>
      <c r="AT29" s="20"/>
      <c r="AU29" s="19"/>
      <c r="AV29"/>
      <c r="AW29"/>
      <c r="AX29">
        <v>60000</v>
      </c>
      <c r="AY29"/>
      <c r="AZ29" s="20"/>
    </row>
    <row r="30" spans="1:52" x14ac:dyDescent="0.25">
      <c r="A30" s="2">
        <v>7692560</v>
      </c>
      <c r="B30" t="s">
        <v>30</v>
      </c>
      <c r="C30" s="2">
        <v>6012438066</v>
      </c>
      <c r="D30" s="5" t="s">
        <v>31</v>
      </c>
      <c r="E30" s="2">
        <v>12</v>
      </c>
      <c r="F30" s="2">
        <v>7</v>
      </c>
      <c r="G30" s="2" t="s">
        <v>5</v>
      </c>
      <c r="H30" s="2"/>
      <c r="I30" s="5" t="s">
        <v>6</v>
      </c>
      <c r="J30" s="3">
        <v>92500</v>
      </c>
      <c r="K30" s="3">
        <f t="shared" si="1"/>
        <v>32500</v>
      </c>
      <c r="L30" s="24"/>
      <c r="M30" s="25"/>
      <c r="N30" s="25"/>
      <c r="O30" s="25"/>
      <c r="P30" s="25"/>
      <c r="Q30" s="25"/>
      <c r="R30" s="26"/>
      <c r="S30" s="24"/>
      <c r="T30" s="25"/>
      <c r="U30" s="25"/>
      <c r="V30" s="25"/>
      <c r="W30" s="25"/>
      <c r="X30" s="25"/>
      <c r="Y30" s="26"/>
      <c r="Z30" s="24"/>
      <c r="AA30" s="25"/>
      <c r="AB30" s="25"/>
      <c r="AC30" s="25"/>
      <c r="AD30" s="25"/>
      <c r="AE30" s="25"/>
      <c r="AF30" s="26"/>
      <c r="AG30" s="19"/>
      <c r="AH30"/>
      <c r="AI30"/>
      <c r="AJ30"/>
      <c r="AK30"/>
      <c r="AL30"/>
      <c r="AM30" s="20"/>
      <c r="AN30" s="19"/>
      <c r="AO30"/>
      <c r="AP30"/>
      <c r="AQ30"/>
      <c r="AR30"/>
      <c r="AS30"/>
      <c r="AT30" s="20"/>
      <c r="AU30" s="19">
        <v>32500</v>
      </c>
      <c r="AV30"/>
      <c r="AW30"/>
      <c r="AX30"/>
      <c r="AY30"/>
      <c r="AZ30" s="20"/>
    </row>
    <row r="31" spans="1:52" x14ac:dyDescent="0.25">
      <c r="A31" s="2">
        <v>7692560</v>
      </c>
      <c r="B31" t="s">
        <v>30</v>
      </c>
      <c r="C31" s="2">
        <v>6012438113</v>
      </c>
      <c r="D31" s="5" t="s">
        <v>33</v>
      </c>
      <c r="E31" s="2">
        <v>12</v>
      </c>
      <c r="F31" s="2">
        <v>7</v>
      </c>
      <c r="G31" s="2" t="s">
        <v>5</v>
      </c>
      <c r="H31" s="2"/>
      <c r="I31" s="5" t="s">
        <v>6</v>
      </c>
      <c r="J31" s="3">
        <v>112500</v>
      </c>
      <c r="K31" s="3">
        <f t="shared" si="1"/>
        <v>60000</v>
      </c>
      <c r="L31" s="24"/>
      <c r="M31" s="25"/>
      <c r="N31" s="25"/>
      <c r="O31" s="25"/>
      <c r="P31" s="25"/>
      <c r="Q31" s="25"/>
      <c r="R31" s="26"/>
      <c r="S31" s="24"/>
      <c r="T31" s="25"/>
      <c r="U31" s="25"/>
      <c r="V31" s="25"/>
      <c r="W31" s="25"/>
      <c r="X31" s="25"/>
      <c r="Y31" s="26"/>
      <c r="Z31" s="24"/>
      <c r="AA31" s="25"/>
      <c r="AB31" s="25"/>
      <c r="AC31" s="25"/>
      <c r="AD31" s="25"/>
      <c r="AE31" s="25"/>
      <c r="AF31" s="26"/>
      <c r="AG31" s="19"/>
      <c r="AH31"/>
      <c r="AI31"/>
      <c r="AJ31"/>
      <c r="AK31"/>
      <c r="AL31"/>
      <c r="AM31" s="20"/>
      <c r="AN31" s="19"/>
      <c r="AO31"/>
      <c r="AP31"/>
      <c r="AQ31"/>
      <c r="AR31"/>
      <c r="AS31">
        <v>60000</v>
      </c>
      <c r="AT31" s="20"/>
      <c r="AU31" s="19"/>
      <c r="AV31"/>
      <c r="AW31"/>
      <c r="AX31"/>
      <c r="AY31"/>
      <c r="AZ31" s="20"/>
    </row>
    <row r="32" spans="1:52" x14ac:dyDescent="0.25">
      <c r="A32" s="2">
        <v>7692560</v>
      </c>
      <c r="B32" t="s">
        <v>64</v>
      </c>
      <c r="C32" s="2">
        <v>6012438064</v>
      </c>
      <c r="D32" s="5" t="s">
        <v>65</v>
      </c>
      <c r="E32" s="2">
        <v>12</v>
      </c>
      <c r="F32" s="2">
        <v>7</v>
      </c>
      <c r="G32" s="2" t="s">
        <v>5</v>
      </c>
      <c r="H32" s="2"/>
      <c r="I32" s="5" t="s">
        <v>6</v>
      </c>
      <c r="J32" s="3">
        <v>210000</v>
      </c>
      <c r="K32" s="3">
        <f t="shared" si="1"/>
        <v>210000</v>
      </c>
      <c r="L32" s="24"/>
      <c r="M32" s="25"/>
      <c r="N32" s="25"/>
      <c r="O32" s="25"/>
      <c r="P32" s="25"/>
      <c r="Q32" s="25"/>
      <c r="R32" s="26"/>
      <c r="S32" s="24"/>
      <c r="T32" s="25"/>
      <c r="U32" s="25"/>
      <c r="V32" s="25"/>
      <c r="W32" s="25"/>
      <c r="X32" s="25"/>
      <c r="Y32" s="26"/>
      <c r="Z32" s="24"/>
      <c r="AA32" s="25"/>
      <c r="AB32" s="25"/>
      <c r="AC32" s="25"/>
      <c r="AD32" s="25"/>
      <c r="AE32" s="25"/>
      <c r="AF32" s="26">
        <v>100000</v>
      </c>
      <c r="AG32" s="19"/>
      <c r="AH32"/>
      <c r="AI32"/>
      <c r="AJ32"/>
      <c r="AK32"/>
      <c r="AL32"/>
      <c r="AM32" s="20"/>
      <c r="AN32" s="19"/>
      <c r="AO32">
        <v>110000</v>
      </c>
      <c r="AP32"/>
      <c r="AQ32"/>
      <c r="AR32"/>
      <c r="AS32"/>
      <c r="AT32" s="20"/>
      <c r="AU32" s="19"/>
      <c r="AV32"/>
      <c r="AW32"/>
      <c r="AX32"/>
      <c r="AY32"/>
      <c r="AZ32" s="20"/>
    </row>
    <row r="33" spans="1:52" x14ac:dyDescent="0.25">
      <c r="A33" s="2">
        <v>7600125</v>
      </c>
      <c r="B33" t="s">
        <v>66</v>
      </c>
      <c r="C33" s="2">
        <v>6012447243</v>
      </c>
      <c r="D33" s="5" t="s">
        <v>24</v>
      </c>
      <c r="E33" s="2">
        <v>6</v>
      </c>
      <c r="F33" s="2">
        <v>7</v>
      </c>
      <c r="G33" s="2" t="s">
        <v>5</v>
      </c>
      <c r="H33" s="2"/>
      <c r="I33" s="5" t="s">
        <v>6</v>
      </c>
      <c r="J33" s="3">
        <v>60000</v>
      </c>
      <c r="K33" s="3">
        <f t="shared" si="1"/>
        <v>20000</v>
      </c>
      <c r="L33" s="24"/>
      <c r="M33" s="25"/>
      <c r="N33" s="25"/>
      <c r="O33" s="25"/>
      <c r="P33" s="25"/>
      <c r="Q33" s="25"/>
      <c r="R33" s="26"/>
      <c r="S33" s="24"/>
      <c r="T33" s="25"/>
      <c r="U33" s="25"/>
      <c r="V33" s="25"/>
      <c r="W33" s="25"/>
      <c r="X33" s="25"/>
      <c r="Y33" s="26"/>
      <c r="Z33" s="24"/>
      <c r="AA33" s="25"/>
      <c r="AB33" s="25"/>
      <c r="AC33" s="25"/>
      <c r="AD33" s="25"/>
      <c r="AE33" s="25"/>
      <c r="AF33" s="26"/>
      <c r="AG33" s="19"/>
      <c r="AH33"/>
      <c r="AI33"/>
      <c r="AJ33"/>
      <c r="AK33"/>
      <c r="AL33"/>
      <c r="AM33" s="20"/>
      <c r="AN33" s="19"/>
      <c r="AO33"/>
      <c r="AP33"/>
      <c r="AQ33"/>
      <c r="AR33"/>
      <c r="AS33">
        <v>20000</v>
      </c>
      <c r="AT33" s="20"/>
      <c r="AU33" s="19"/>
      <c r="AV33"/>
      <c r="AW33"/>
      <c r="AX33"/>
      <c r="AY33"/>
      <c r="AZ33" s="20"/>
    </row>
    <row r="34" spans="1:52" x14ac:dyDescent="0.25">
      <c r="A34" s="2">
        <v>7600154</v>
      </c>
      <c r="B34" t="s">
        <v>83</v>
      </c>
      <c r="C34" s="2">
        <v>6012447780</v>
      </c>
      <c r="D34" s="5" t="s">
        <v>67</v>
      </c>
      <c r="E34" s="2">
        <v>12</v>
      </c>
      <c r="F34" s="2">
        <v>7</v>
      </c>
      <c r="G34" s="2" t="s">
        <v>5</v>
      </c>
      <c r="H34" s="2"/>
      <c r="I34" s="5" t="s">
        <v>6</v>
      </c>
      <c r="J34" s="3">
        <v>125000</v>
      </c>
      <c r="K34" s="3">
        <f t="shared" si="1"/>
        <v>125000</v>
      </c>
      <c r="L34" s="24"/>
      <c r="M34" s="25"/>
      <c r="N34" s="25"/>
      <c r="O34" s="25"/>
      <c r="P34" s="25"/>
      <c r="Q34" s="25"/>
      <c r="R34" s="26"/>
      <c r="S34" s="24"/>
      <c r="T34" s="25"/>
      <c r="U34" s="25"/>
      <c r="V34" s="25"/>
      <c r="W34" s="25"/>
      <c r="X34" s="25"/>
      <c r="Y34" s="26"/>
      <c r="Z34" s="24"/>
      <c r="AA34" s="25"/>
      <c r="AB34" s="25"/>
      <c r="AC34" s="25"/>
      <c r="AD34" s="25"/>
      <c r="AE34" s="25"/>
      <c r="AF34" s="26"/>
      <c r="AG34" s="19"/>
      <c r="AH34"/>
      <c r="AI34"/>
      <c r="AJ34"/>
      <c r="AK34"/>
      <c r="AL34"/>
      <c r="AM34" s="20"/>
      <c r="AN34" s="19"/>
      <c r="AO34">
        <v>75000</v>
      </c>
      <c r="AP34"/>
      <c r="AQ34"/>
      <c r="AR34"/>
      <c r="AS34"/>
      <c r="AT34" s="20"/>
      <c r="AU34" s="19">
        <v>50000</v>
      </c>
      <c r="AV34"/>
      <c r="AW34"/>
      <c r="AX34"/>
      <c r="AY34"/>
      <c r="AZ34" s="20"/>
    </row>
    <row r="35" spans="1:52" x14ac:dyDescent="0.25">
      <c r="A35" s="2">
        <v>7600154</v>
      </c>
      <c r="B35" t="s">
        <v>68</v>
      </c>
      <c r="C35" s="2">
        <v>6012447918</v>
      </c>
      <c r="D35" s="5" t="s">
        <v>67</v>
      </c>
      <c r="E35" s="2">
        <v>12</v>
      </c>
      <c r="F35" s="2">
        <v>7</v>
      </c>
      <c r="G35" s="2" t="s">
        <v>5</v>
      </c>
      <c r="H35" s="2"/>
      <c r="I35" s="5" t="s">
        <v>6</v>
      </c>
      <c r="J35" s="3">
        <v>50000</v>
      </c>
      <c r="K35" s="3">
        <f t="shared" si="1"/>
        <v>50000</v>
      </c>
      <c r="L35" s="24"/>
      <c r="M35" s="25"/>
      <c r="N35" s="25"/>
      <c r="O35" s="25"/>
      <c r="P35" s="25"/>
      <c r="Q35" s="25"/>
      <c r="R35" s="26"/>
      <c r="S35" s="24"/>
      <c r="T35" s="25"/>
      <c r="U35" s="25"/>
      <c r="V35" s="25"/>
      <c r="W35" s="25"/>
      <c r="X35" s="25"/>
      <c r="Y35" s="26"/>
      <c r="Z35" s="24"/>
      <c r="AA35" s="25"/>
      <c r="AB35" s="25"/>
      <c r="AC35" s="25"/>
      <c r="AD35" s="25"/>
      <c r="AE35" s="25"/>
      <c r="AF35" s="26"/>
      <c r="AG35" s="19"/>
      <c r="AH35"/>
      <c r="AI35"/>
      <c r="AJ35"/>
      <c r="AK35"/>
      <c r="AL35"/>
      <c r="AM35" s="20"/>
      <c r="AN35" s="19"/>
      <c r="AO35"/>
      <c r="AP35"/>
      <c r="AQ35"/>
      <c r="AR35"/>
      <c r="AS35"/>
      <c r="AT35" s="20"/>
      <c r="AU35" s="19"/>
      <c r="AV35"/>
      <c r="AW35"/>
      <c r="AX35"/>
      <c r="AY35">
        <v>50000</v>
      </c>
      <c r="AZ35" s="20"/>
    </row>
    <row r="36" spans="1:52" x14ac:dyDescent="0.25">
      <c r="A36" s="2">
        <v>7600154</v>
      </c>
      <c r="B36" t="s">
        <v>69</v>
      </c>
      <c r="C36" s="2">
        <v>6012448022</v>
      </c>
      <c r="D36" s="5" t="s">
        <v>18</v>
      </c>
      <c r="E36" s="2">
        <v>12</v>
      </c>
      <c r="F36" s="2">
        <v>7</v>
      </c>
      <c r="G36" s="2" t="s">
        <v>5</v>
      </c>
      <c r="H36" s="2"/>
      <c r="I36" s="5" t="s">
        <v>6</v>
      </c>
      <c r="J36" s="3">
        <v>160000</v>
      </c>
      <c r="K36" s="3">
        <f t="shared" si="1"/>
        <v>80000</v>
      </c>
      <c r="L36" s="24"/>
      <c r="M36" s="25"/>
      <c r="N36" s="25"/>
      <c r="O36" s="25"/>
      <c r="P36" s="25"/>
      <c r="Q36" s="25"/>
      <c r="R36" s="26"/>
      <c r="S36" s="24"/>
      <c r="T36" s="25"/>
      <c r="U36" s="25"/>
      <c r="V36" s="25"/>
      <c r="W36" s="25"/>
      <c r="X36" s="25"/>
      <c r="Y36" s="26"/>
      <c r="Z36" s="24"/>
      <c r="AA36" s="25"/>
      <c r="AB36" s="25"/>
      <c r="AC36" s="25"/>
      <c r="AD36" s="25"/>
      <c r="AE36" s="25"/>
      <c r="AF36" s="26"/>
      <c r="AG36" s="19"/>
      <c r="AH36"/>
      <c r="AI36"/>
      <c r="AJ36"/>
      <c r="AK36"/>
      <c r="AL36"/>
      <c r="AM36" s="20"/>
      <c r="AN36" s="19">
        <v>80000</v>
      </c>
      <c r="AO36"/>
      <c r="AP36"/>
      <c r="AQ36"/>
      <c r="AR36"/>
      <c r="AS36"/>
      <c r="AT36" s="20"/>
      <c r="AU36" s="19"/>
      <c r="AV36"/>
      <c r="AW36"/>
      <c r="AX36"/>
      <c r="AY36"/>
      <c r="AZ36" s="20"/>
    </row>
    <row r="37" spans="1:52" x14ac:dyDescent="0.25">
      <c r="A37" s="2">
        <v>7600154</v>
      </c>
      <c r="B37" t="s">
        <v>69</v>
      </c>
      <c r="C37" s="2">
        <v>6012448025</v>
      </c>
      <c r="D37" s="5" t="s">
        <v>18</v>
      </c>
      <c r="E37" s="2">
        <v>12</v>
      </c>
      <c r="F37" s="2">
        <v>7</v>
      </c>
      <c r="G37" s="2" t="s">
        <v>5</v>
      </c>
      <c r="H37" s="2"/>
      <c r="I37" s="5" t="s">
        <v>6</v>
      </c>
      <c r="J37" s="3">
        <v>150000</v>
      </c>
      <c r="K37" s="3">
        <f t="shared" si="1"/>
        <v>150000</v>
      </c>
      <c r="L37" s="24"/>
      <c r="M37" s="25"/>
      <c r="N37" s="25"/>
      <c r="O37" s="25"/>
      <c r="P37" s="25"/>
      <c r="Q37" s="25"/>
      <c r="R37" s="26"/>
      <c r="S37" s="24"/>
      <c r="T37" s="25"/>
      <c r="U37" s="25"/>
      <c r="V37" s="25"/>
      <c r="W37" s="25"/>
      <c r="X37" s="25"/>
      <c r="Y37" s="26"/>
      <c r="Z37" s="24"/>
      <c r="AA37" s="25"/>
      <c r="AB37" s="25"/>
      <c r="AC37" s="25"/>
      <c r="AD37" s="25"/>
      <c r="AE37" s="25"/>
      <c r="AF37" s="26"/>
      <c r="AG37" s="19"/>
      <c r="AH37"/>
      <c r="AI37">
        <v>70000</v>
      </c>
      <c r="AJ37"/>
      <c r="AK37"/>
      <c r="AL37"/>
      <c r="AM37" s="20"/>
      <c r="AN37" s="19"/>
      <c r="AO37"/>
      <c r="AP37"/>
      <c r="AQ37"/>
      <c r="AR37"/>
      <c r="AS37"/>
      <c r="AT37" s="20">
        <v>80000</v>
      </c>
      <c r="AU37" s="19"/>
      <c r="AV37"/>
      <c r="AW37"/>
      <c r="AX37"/>
      <c r="AY37"/>
      <c r="AZ37" s="20"/>
    </row>
    <row r="38" spans="1:52" x14ac:dyDescent="0.25">
      <c r="A38" s="2">
        <v>7600154</v>
      </c>
      <c r="B38" t="s">
        <v>70</v>
      </c>
      <c r="C38" s="2">
        <v>6012448026</v>
      </c>
      <c r="D38" s="5" t="s">
        <v>18</v>
      </c>
      <c r="E38" s="2">
        <v>12</v>
      </c>
      <c r="F38" s="2">
        <v>7</v>
      </c>
      <c r="G38" s="2" t="s">
        <v>5</v>
      </c>
      <c r="H38" s="2"/>
      <c r="I38" s="5" t="s">
        <v>6</v>
      </c>
      <c r="J38" s="3">
        <v>160000</v>
      </c>
      <c r="K38" s="3">
        <f t="shared" si="1"/>
        <v>80000</v>
      </c>
      <c r="L38" s="24"/>
      <c r="M38" s="25"/>
      <c r="N38" s="25"/>
      <c r="O38" s="25"/>
      <c r="P38" s="25"/>
      <c r="Q38" s="25"/>
      <c r="R38" s="26"/>
      <c r="S38" s="24"/>
      <c r="T38" s="25"/>
      <c r="U38" s="25"/>
      <c r="V38" s="25"/>
      <c r="W38" s="25"/>
      <c r="X38" s="25"/>
      <c r="Y38" s="26"/>
      <c r="Z38" s="24"/>
      <c r="AA38" s="25"/>
      <c r="AB38" s="25"/>
      <c r="AC38" s="25"/>
      <c r="AD38" s="25"/>
      <c r="AE38" s="25"/>
      <c r="AF38" s="26"/>
      <c r="AG38" s="19"/>
      <c r="AH38"/>
      <c r="AI38"/>
      <c r="AJ38"/>
      <c r="AK38"/>
      <c r="AL38"/>
      <c r="AM38" s="20"/>
      <c r="AN38" s="19">
        <v>80000</v>
      </c>
      <c r="AO38"/>
      <c r="AP38"/>
      <c r="AQ38"/>
      <c r="AR38"/>
      <c r="AS38"/>
      <c r="AT38" s="20"/>
      <c r="AU38" s="19"/>
      <c r="AV38"/>
      <c r="AW38"/>
      <c r="AX38"/>
      <c r="AY38"/>
      <c r="AZ38" s="20"/>
    </row>
    <row r="39" spans="1:52" x14ac:dyDescent="0.25">
      <c r="A39" s="2">
        <v>7600154</v>
      </c>
      <c r="B39" t="s">
        <v>70</v>
      </c>
      <c r="C39" s="2">
        <v>6012448028</v>
      </c>
      <c r="D39" s="5" t="s">
        <v>18</v>
      </c>
      <c r="E39" s="2">
        <v>12</v>
      </c>
      <c r="F39" s="2">
        <v>7</v>
      </c>
      <c r="G39" s="2" t="s">
        <v>5</v>
      </c>
      <c r="H39" s="2"/>
      <c r="I39" s="5" t="s">
        <v>6</v>
      </c>
      <c r="J39" s="3">
        <v>220000</v>
      </c>
      <c r="K39" s="3">
        <f t="shared" si="1"/>
        <v>140000</v>
      </c>
      <c r="L39" s="24"/>
      <c r="M39" s="25"/>
      <c r="N39" s="25"/>
      <c r="O39" s="25"/>
      <c r="P39" s="25"/>
      <c r="Q39" s="25"/>
      <c r="R39" s="26"/>
      <c r="S39" s="24"/>
      <c r="T39" s="25"/>
      <c r="U39" s="25"/>
      <c r="V39" s="25"/>
      <c r="W39" s="25"/>
      <c r="X39" s="25"/>
      <c r="Y39" s="26"/>
      <c r="Z39" s="24"/>
      <c r="AA39" s="25"/>
      <c r="AB39" s="25"/>
      <c r="AC39" s="25"/>
      <c r="AD39" s="25"/>
      <c r="AE39" s="25"/>
      <c r="AF39" s="26"/>
      <c r="AG39" s="19"/>
      <c r="AH39"/>
      <c r="AI39">
        <v>60000</v>
      </c>
      <c r="AJ39"/>
      <c r="AK39"/>
      <c r="AL39"/>
      <c r="AM39" s="20"/>
      <c r="AN39" s="19"/>
      <c r="AO39"/>
      <c r="AP39"/>
      <c r="AQ39"/>
      <c r="AR39"/>
      <c r="AS39"/>
      <c r="AT39" s="20">
        <v>80000</v>
      </c>
      <c r="AU39" s="19"/>
      <c r="AV39"/>
      <c r="AW39"/>
      <c r="AX39"/>
      <c r="AY39"/>
      <c r="AZ39" s="20"/>
    </row>
    <row r="40" spans="1:52" x14ac:dyDescent="0.25">
      <c r="A40" s="2">
        <v>7692588</v>
      </c>
      <c r="B40" t="s">
        <v>32</v>
      </c>
      <c r="C40" s="2">
        <v>6012437883</v>
      </c>
      <c r="D40" s="5" t="s">
        <v>31</v>
      </c>
      <c r="E40" s="2">
        <v>9</v>
      </c>
      <c r="F40" s="2">
        <v>7</v>
      </c>
      <c r="G40" s="2" t="s">
        <v>5</v>
      </c>
      <c r="H40" s="2"/>
      <c r="I40" s="5" t="s">
        <v>6</v>
      </c>
      <c r="J40" s="3">
        <v>13750</v>
      </c>
      <c r="K40" s="3">
        <f t="shared" si="1"/>
        <v>13750</v>
      </c>
      <c r="L40" s="24"/>
      <c r="M40" s="25"/>
      <c r="N40" s="25"/>
      <c r="O40" s="25"/>
      <c r="P40" s="25"/>
      <c r="Q40" s="25"/>
      <c r="R40" s="26"/>
      <c r="S40" s="24"/>
      <c r="T40" s="25"/>
      <c r="U40" s="25"/>
      <c r="V40" s="25"/>
      <c r="W40" s="25"/>
      <c r="X40" s="25"/>
      <c r="Y40" s="26"/>
      <c r="Z40" s="24"/>
      <c r="AA40" s="25"/>
      <c r="AB40" s="25"/>
      <c r="AC40" s="25"/>
      <c r="AD40" s="25"/>
      <c r="AE40" s="25"/>
      <c r="AF40" s="26"/>
      <c r="AG40" s="19"/>
      <c r="AH40"/>
      <c r="AI40"/>
      <c r="AJ40"/>
      <c r="AK40"/>
      <c r="AL40"/>
      <c r="AM40" s="20"/>
      <c r="AN40" s="19"/>
      <c r="AO40"/>
      <c r="AP40"/>
      <c r="AQ40"/>
      <c r="AR40"/>
      <c r="AS40"/>
      <c r="AT40" s="20"/>
      <c r="AU40" s="19">
        <v>13750</v>
      </c>
      <c r="AV40"/>
      <c r="AW40"/>
      <c r="AX40"/>
      <c r="AY40"/>
      <c r="AZ40" s="20"/>
    </row>
    <row r="41" spans="1:52" x14ac:dyDescent="0.25">
      <c r="A41" s="2">
        <v>7692793</v>
      </c>
      <c r="B41" t="s">
        <v>71</v>
      </c>
      <c r="C41" s="2">
        <v>6012446344</v>
      </c>
      <c r="D41" s="5" t="s">
        <v>72</v>
      </c>
      <c r="E41" s="2">
        <v>9</v>
      </c>
      <c r="F41" s="2">
        <v>7</v>
      </c>
      <c r="G41" s="2" t="s">
        <v>5</v>
      </c>
      <c r="H41" s="2"/>
      <c r="I41" s="5" t="s">
        <v>6</v>
      </c>
      <c r="J41" s="3">
        <v>247500</v>
      </c>
      <c r="K41" s="3">
        <f t="shared" si="1"/>
        <v>165000</v>
      </c>
      <c r="L41" s="24"/>
      <c r="M41" s="25"/>
      <c r="N41" s="25"/>
      <c r="O41" s="25"/>
      <c r="P41" s="25"/>
      <c r="Q41" s="25"/>
      <c r="R41" s="26"/>
      <c r="S41" s="24"/>
      <c r="T41" s="25"/>
      <c r="U41" s="25"/>
      <c r="V41" s="25"/>
      <c r="W41" s="25"/>
      <c r="X41" s="25"/>
      <c r="Y41" s="26"/>
      <c r="Z41" s="24"/>
      <c r="AA41" s="25"/>
      <c r="AB41" s="25"/>
      <c r="AC41" s="25"/>
      <c r="AD41" s="25"/>
      <c r="AE41" s="25"/>
      <c r="AF41" s="26"/>
      <c r="AG41" s="19">
        <v>82500</v>
      </c>
      <c r="AH41"/>
      <c r="AI41"/>
      <c r="AJ41"/>
      <c r="AK41"/>
      <c r="AL41"/>
      <c r="AM41" s="20"/>
      <c r="AN41" s="19"/>
      <c r="AO41">
        <v>82500</v>
      </c>
      <c r="AP41"/>
      <c r="AQ41"/>
      <c r="AR41"/>
      <c r="AS41"/>
      <c r="AT41" s="20"/>
      <c r="AU41" s="19"/>
      <c r="AV41"/>
      <c r="AW41"/>
      <c r="AX41"/>
      <c r="AY41"/>
      <c r="AZ41" s="20"/>
    </row>
    <row r="42" spans="1:52" x14ac:dyDescent="0.25">
      <c r="A42" s="2">
        <v>7692793</v>
      </c>
      <c r="B42" t="s">
        <v>71</v>
      </c>
      <c r="C42" s="2">
        <v>6012448266</v>
      </c>
      <c r="D42" s="5" t="s">
        <v>72</v>
      </c>
      <c r="E42" s="2">
        <v>9</v>
      </c>
      <c r="F42" s="2">
        <v>7</v>
      </c>
      <c r="G42" s="2" t="s">
        <v>5</v>
      </c>
      <c r="H42" s="2"/>
      <c r="I42" s="5" t="s">
        <v>6</v>
      </c>
      <c r="J42" s="3">
        <v>247500</v>
      </c>
      <c r="K42" s="3">
        <f t="shared" si="1"/>
        <v>165000</v>
      </c>
      <c r="L42" s="24"/>
      <c r="M42" s="25"/>
      <c r="N42" s="25"/>
      <c r="O42" s="25"/>
      <c r="P42" s="25"/>
      <c r="Q42" s="25"/>
      <c r="R42" s="26"/>
      <c r="S42" s="24"/>
      <c r="T42" s="25"/>
      <c r="U42" s="25"/>
      <c r="V42" s="25"/>
      <c r="W42" s="25"/>
      <c r="X42" s="25"/>
      <c r="Y42" s="26"/>
      <c r="Z42" s="24"/>
      <c r="AA42" s="25"/>
      <c r="AB42" s="25"/>
      <c r="AC42" s="25"/>
      <c r="AD42" s="25"/>
      <c r="AE42" s="25"/>
      <c r="AF42" s="26"/>
      <c r="AG42" s="19"/>
      <c r="AH42"/>
      <c r="AI42"/>
      <c r="AJ42"/>
      <c r="AK42"/>
      <c r="AL42">
        <v>82500</v>
      </c>
      <c r="AM42" s="20"/>
      <c r="AN42" s="19"/>
      <c r="AO42"/>
      <c r="AP42"/>
      <c r="AQ42"/>
      <c r="AR42"/>
      <c r="AS42">
        <v>82500</v>
      </c>
      <c r="AT42" s="20"/>
      <c r="AU42" s="19"/>
      <c r="AV42"/>
      <c r="AW42"/>
      <c r="AX42"/>
      <c r="AY42"/>
      <c r="AZ42" s="20"/>
    </row>
    <row r="43" spans="1:52" x14ac:dyDescent="0.25">
      <c r="A43" s="2">
        <v>7692795</v>
      </c>
      <c r="B43" t="s">
        <v>37</v>
      </c>
      <c r="C43" s="2">
        <v>6012448269</v>
      </c>
      <c r="D43" s="5" t="s">
        <v>34</v>
      </c>
      <c r="E43" s="2">
        <v>9</v>
      </c>
      <c r="F43" s="2">
        <v>7</v>
      </c>
      <c r="G43" s="2" t="s">
        <v>5</v>
      </c>
      <c r="H43" s="2"/>
      <c r="I43" s="5" t="s">
        <v>6</v>
      </c>
      <c r="J43" s="3">
        <v>137500</v>
      </c>
      <c r="K43" s="3">
        <f t="shared" si="1"/>
        <v>137500</v>
      </c>
      <c r="L43" s="24"/>
      <c r="M43" s="25"/>
      <c r="N43" s="25"/>
      <c r="O43" s="25"/>
      <c r="P43" s="25"/>
      <c r="Q43" s="25"/>
      <c r="R43" s="26"/>
      <c r="S43" s="24"/>
      <c r="T43" s="25"/>
      <c r="U43" s="25"/>
      <c r="V43" s="25"/>
      <c r="W43" s="25"/>
      <c r="X43" s="25"/>
      <c r="Y43" s="26"/>
      <c r="Z43" s="24"/>
      <c r="AA43" s="25"/>
      <c r="AB43" s="25"/>
      <c r="AC43" s="25"/>
      <c r="AD43" s="25"/>
      <c r="AE43" s="25"/>
      <c r="AF43" s="26"/>
      <c r="AG43" s="19">
        <v>55000</v>
      </c>
      <c r="AH43"/>
      <c r="AI43"/>
      <c r="AJ43"/>
      <c r="AK43"/>
      <c r="AL43"/>
      <c r="AM43" s="20"/>
      <c r="AN43" s="19"/>
      <c r="AO43">
        <v>82500</v>
      </c>
      <c r="AP43"/>
      <c r="AQ43"/>
      <c r="AR43"/>
      <c r="AS43"/>
      <c r="AT43" s="20"/>
      <c r="AU43" s="19"/>
      <c r="AV43"/>
      <c r="AW43"/>
      <c r="AX43"/>
      <c r="AY43"/>
      <c r="AZ43" s="20"/>
    </row>
    <row r="44" spans="1:52" x14ac:dyDescent="0.25">
      <c r="A44" s="2">
        <v>7692795</v>
      </c>
      <c r="B44" t="s">
        <v>37</v>
      </c>
      <c r="C44" s="2">
        <v>6012448270</v>
      </c>
      <c r="D44" s="5" t="s">
        <v>34</v>
      </c>
      <c r="E44" s="2">
        <v>9</v>
      </c>
      <c r="F44" s="2">
        <v>7</v>
      </c>
      <c r="G44" s="2" t="s">
        <v>5</v>
      </c>
      <c r="H44" s="2"/>
      <c r="I44" s="5" t="s">
        <v>6</v>
      </c>
      <c r="J44" s="3">
        <v>192500</v>
      </c>
      <c r="K44" s="3">
        <f t="shared" si="1"/>
        <v>137500</v>
      </c>
      <c r="L44" s="24"/>
      <c r="M44" s="25"/>
      <c r="N44" s="25"/>
      <c r="O44" s="25"/>
      <c r="P44" s="25"/>
      <c r="Q44" s="25"/>
      <c r="R44" s="26"/>
      <c r="S44" s="24"/>
      <c r="T44" s="25"/>
      <c r="U44" s="25"/>
      <c r="V44" s="25"/>
      <c r="W44" s="25"/>
      <c r="X44" s="25"/>
      <c r="Y44" s="26"/>
      <c r="Z44" s="24"/>
      <c r="AA44" s="25"/>
      <c r="AB44" s="25"/>
      <c r="AC44" s="25"/>
      <c r="AD44" s="25"/>
      <c r="AE44" s="25"/>
      <c r="AF44" s="26"/>
      <c r="AG44" s="19"/>
      <c r="AH44"/>
      <c r="AI44"/>
      <c r="AJ44"/>
      <c r="AK44">
        <v>55000</v>
      </c>
      <c r="AL44"/>
      <c r="AM44" s="20"/>
      <c r="AN44" s="19"/>
      <c r="AO44"/>
      <c r="AP44"/>
      <c r="AQ44"/>
      <c r="AR44"/>
      <c r="AS44">
        <v>82500</v>
      </c>
      <c r="AT44" s="20"/>
      <c r="AU44" s="19"/>
      <c r="AV44"/>
      <c r="AW44"/>
      <c r="AX44"/>
      <c r="AY44"/>
      <c r="AZ44" s="20"/>
    </row>
    <row r="45" spans="1:52" x14ac:dyDescent="0.25">
      <c r="A45" s="2">
        <v>7692795</v>
      </c>
      <c r="B45" s="5" t="s">
        <v>84</v>
      </c>
      <c r="C45" s="2">
        <v>6012448265</v>
      </c>
      <c r="D45" s="5" t="s">
        <v>39</v>
      </c>
      <c r="E45" s="2">
        <v>9</v>
      </c>
      <c r="F45" s="2">
        <v>7</v>
      </c>
      <c r="G45" s="2" t="s">
        <v>5</v>
      </c>
      <c r="H45" s="2"/>
      <c r="I45" s="5" t="s">
        <v>6</v>
      </c>
      <c r="J45" s="3">
        <v>165000</v>
      </c>
      <c r="K45" s="3">
        <f t="shared" si="1"/>
        <v>165000</v>
      </c>
      <c r="L45" s="24"/>
      <c r="M45" s="25"/>
      <c r="N45" s="25"/>
      <c r="O45" s="25"/>
      <c r="P45" s="25"/>
      <c r="Q45" s="25"/>
      <c r="R45" s="26"/>
      <c r="S45" s="24"/>
      <c r="T45" s="25"/>
      <c r="U45" s="25"/>
      <c r="V45" s="25"/>
      <c r="W45" s="25"/>
      <c r="X45" s="25"/>
      <c r="Y45" s="26"/>
      <c r="Z45" s="24"/>
      <c r="AA45" s="25"/>
      <c r="AB45" s="25"/>
      <c r="AC45" s="25"/>
      <c r="AD45" s="25"/>
      <c r="AE45" s="25"/>
      <c r="AF45" s="26"/>
      <c r="AG45" s="19"/>
      <c r="AH45"/>
      <c r="AI45">
        <v>55000</v>
      </c>
      <c r="AJ45"/>
      <c r="AK45"/>
      <c r="AL45"/>
      <c r="AM45" s="20">
        <v>55000</v>
      </c>
      <c r="AN45" s="19"/>
      <c r="AO45"/>
      <c r="AP45"/>
      <c r="AQ45"/>
      <c r="AR45"/>
      <c r="AS45">
        <v>55000</v>
      </c>
      <c r="AT45" s="20"/>
      <c r="AU45" s="19"/>
      <c r="AV45"/>
      <c r="AW45"/>
      <c r="AX45"/>
      <c r="AY45"/>
      <c r="AZ45" s="20"/>
    </row>
    <row r="46" spans="1:52" x14ac:dyDescent="0.25">
      <c r="A46" s="2">
        <v>7692924</v>
      </c>
      <c r="B46" t="s">
        <v>73</v>
      </c>
      <c r="C46" s="2">
        <v>6012442762</v>
      </c>
      <c r="D46" s="5" t="s">
        <v>35</v>
      </c>
      <c r="E46" s="2">
        <v>12</v>
      </c>
      <c r="F46" s="2">
        <v>7</v>
      </c>
      <c r="G46" s="2" t="s">
        <v>21</v>
      </c>
      <c r="H46" s="2"/>
      <c r="I46" s="5" t="s">
        <v>6</v>
      </c>
      <c r="J46" s="3">
        <v>53750</v>
      </c>
      <c r="K46" s="3">
        <f t="shared" si="1"/>
        <v>23750</v>
      </c>
      <c r="L46" s="24"/>
      <c r="M46" s="25"/>
      <c r="N46" s="25"/>
      <c r="O46" s="25"/>
      <c r="P46" s="25"/>
      <c r="Q46" s="25"/>
      <c r="R46" s="26"/>
      <c r="S46" s="24"/>
      <c r="T46" s="25"/>
      <c r="U46" s="25"/>
      <c r="V46" s="25"/>
      <c r="W46" s="25"/>
      <c r="X46" s="25">
        <v>23750</v>
      </c>
      <c r="Y46" s="26"/>
      <c r="Z46" s="24"/>
      <c r="AA46" s="25"/>
      <c r="AB46" s="25"/>
      <c r="AC46" s="25"/>
      <c r="AD46" s="25"/>
      <c r="AE46" s="25"/>
      <c r="AF46" s="26"/>
      <c r="AG46" s="19"/>
      <c r="AH46"/>
      <c r="AI46"/>
      <c r="AJ46"/>
      <c r="AK46"/>
      <c r="AL46"/>
      <c r="AM46" s="20"/>
      <c r="AN46" s="19"/>
      <c r="AO46"/>
      <c r="AP46"/>
      <c r="AQ46"/>
      <c r="AR46"/>
      <c r="AS46"/>
      <c r="AT46" s="20"/>
      <c r="AU46" s="19"/>
      <c r="AV46"/>
      <c r="AW46"/>
      <c r="AX46"/>
      <c r="AY46"/>
      <c r="AZ46" s="20"/>
    </row>
    <row r="47" spans="1:52" x14ac:dyDescent="0.25">
      <c r="A47" s="2">
        <v>7692924</v>
      </c>
      <c r="B47" t="s">
        <v>74</v>
      </c>
      <c r="C47" s="2">
        <v>6012444699</v>
      </c>
      <c r="D47" s="5" t="s">
        <v>35</v>
      </c>
      <c r="E47" s="2">
        <v>12</v>
      </c>
      <c r="F47" s="2">
        <v>7</v>
      </c>
      <c r="G47" s="2" t="s">
        <v>21</v>
      </c>
      <c r="H47" s="2"/>
      <c r="I47" s="5" t="s">
        <v>6</v>
      </c>
      <c r="J47" s="3">
        <v>46250</v>
      </c>
      <c r="K47" s="3">
        <f t="shared" si="1"/>
        <v>16250</v>
      </c>
      <c r="L47" s="24"/>
      <c r="M47" s="25"/>
      <c r="N47" s="25"/>
      <c r="O47" s="25"/>
      <c r="P47" s="25"/>
      <c r="Q47" s="25"/>
      <c r="R47" s="26"/>
      <c r="S47" s="24"/>
      <c r="T47" s="25"/>
      <c r="U47" s="25"/>
      <c r="V47" s="25"/>
      <c r="W47" s="25"/>
      <c r="X47" s="25">
        <v>16250</v>
      </c>
      <c r="Y47" s="26"/>
      <c r="Z47" s="24"/>
      <c r="AA47" s="25"/>
      <c r="AB47" s="25"/>
      <c r="AC47" s="25"/>
      <c r="AD47" s="25"/>
      <c r="AE47" s="25"/>
      <c r="AF47" s="26"/>
      <c r="AG47" s="19"/>
      <c r="AH47"/>
      <c r="AI47"/>
      <c r="AJ47"/>
      <c r="AK47"/>
      <c r="AL47"/>
      <c r="AM47" s="20"/>
      <c r="AN47" s="19"/>
      <c r="AO47"/>
      <c r="AP47"/>
      <c r="AQ47"/>
      <c r="AR47"/>
      <c r="AS47"/>
      <c r="AT47" s="20"/>
      <c r="AU47" s="19"/>
      <c r="AV47"/>
      <c r="AW47"/>
      <c r="AX47"/>
      <c r="AY47"/>
      <c r="AZ47" s="20"/>
    </row>
    <row r="48" spans="1:52" x14ac:dyDescent="0.25">
      <c r="A48" s="2">
        <v>7622071</v>
      </c>
      <c r="B48" t="s">
        <v>75</v>
      </c>
      <c r="C48" s="2">
        <v>6012446594</v>
      </c>
      <c r="D48" s="5" t="s">
        <v>35</v>
      </c>
      <c r="E48" s="2">
        <v>12</v>
      </c>
      <c r="F48" s="2">
        <v>7</v>
      </c>
      <c r="G48" s="2" t="s">
        <v>5</v>
      </c>
      <c r="H48" s="2"/>
      <c r="I48" s="5" t="s">
        <v>6</v>
      </c>
      <c r="J48" s="3">
        <v>28750</v>
      </c>
      <c r="K48" s="3">
        <f t="shared" si="1"/>
        <v>28750</v>
      </c>
      <c r="L48" s="24"/>
      <c r="M48" s="25"/>
      <c r="N48" s="25"/>
      <c r="O48" s="25"/>
      <c r="P48" s="25"/>
      <c r="Q48" s="25"/>
      <c r="R48" s="26"/>
      <c r="S48" s="24"/>
      <c r="T48" s="25"/>
      <c r="U48" s="25"/>
      <c r="V48" s="25"/>
      <c r="W48" s="25"/>
      <c r="X48" s="25"/>
      <c r="Y48" s="26"/>
      <c r="Z48" s="24"/>
      <c r="AA48" s="25"/>
      <c r="AB48" s="25"/>
      <c r="AC48" s="25"/>
      <c r="AD48" s="25"/>
      <c r="AE48" s="25"/>
      <c r="AF48" s="26"/>
      <c r="AG48" s="19"/>
      <c r="AH48"/>
      <c r="AI48"/>
      <c r="AJ48">
        <v>28750</v>
      </c>
      <c r="AK48"/>
      <c r="AL48"/>
      <c r="AM48" s="20"/>
      <c r="AN48" s="19"/>
      <c r="AO48"/>
      <c r="AP48"/>
      <c r="AQ48"/>
      <c r="AR48"/>
      <c r="AS48"/>
      <c r="AT48" s="20"/>
      <c r="AU48" s="19"/>
      <c r="AV48"/>
      <c r="AW48"/>
      <c r="AX48"/>
      <c r="AY48"/>
      <c r="AZ48" s="20"/>
    </row>
    <row r="49" spans="1:52" x14ac:dyDescent="0.25">
      <c r="A49" s="2">
        <v>7692734</v>
      </c>
      <c r="B49" t="s">
        <v>76</v>
      </c>
      <c r="C49" s="2">
        <v>6012447396</v>
      </c>
      <c r="D49" s="5" t="s">
        <v>24</v>
      </c>
      <c r="E49" s="2">
        <v>4</v>
      </c>
      <c r="F49" s="2">
        <v>7</v>
      </c>
      <c r="G49" s="2" t="s">
        <v>5</v>
      </c>
      <c r="H49" s="2"/>
      <c r="I49" s="5" t="s">
        <v>6</v>
      </c>
      <c r="J49" s="3">
        <v>60000</v>
      </c>
      <c r="K49" s="3">
        <f t="shared" si="1"/>
        <v>10000</v>
      </c>
      <c r="L49" s="24"/>
      <c r="M49" s="25"/>
      <c r="N49" s="25"/>
      <c r="O49" s="25"/>
      <c r="P49" s="25"/>
      <c r="Q49" s="25"/>
      <c r="R49" s="26"/>
      <c r="S49" s="24"/>
      <c r="T49" s="25"/>
      <c r="U49" s="25"/>
      <c r="V49" s="25"/>
      <c r="W49" s="25"/>
      <c r="X49" s="25"/>
      <c r="Y49" s="26"/>
      <c r="Z49" s="24"/>
      <c r="AA49" s="25"/>
      <c r="AB49" s="25"/>
      <c r="AC49" s="25"/>
      <c r="AD49" s="25"/>
      <c r="AE49" s="25"/>
      <c r="AF49" s="26"/>
      <c r="AG49" s="19"/>
      <c r="AH49"/>
      <c r="AI49"/>
      <c r="AJ49"/>
      <c r="AK49"/>
      <c r="AL49"/>
      <c r="AM49" s="20"/>
      <c r="AN49" s="19"/>
      <c r="AO49"/>
      <c r="AP49"/>
      <c r="AQ49"/>
      <c r="AR49"/>
      <c r="AS49">
        <v>10000</v>
      </c>
      <c r="AT49" s="20"/>
      <c r="AU49" s="19"/>
      <c r="AV49"/>
      <c r="AW49"/>
      <c r="AX49"/>
      <c r="AY49"/>
      <c r="AZ49" s="20"/>
    </row>
    <row r="50" spans="1:52" x14ac:dyDescent="0.25">
      <c r="A50" s="2">
        <v>7600151</v>
      </c>
      <c r="B50" t="s">
        <v>77</v>
      </c>
      <c r="C50" s="2">
        <v>6012447976</v>
      </c>
      <c r="D50" s="5" t="s">
        <v>27</v>
      </c>
      <c r="E50" s="2">
        <v>6</v>
      </c>
      <c r="F50" s="2">
        <v>7</v>
      </c>
      <c r="G50" s="2" t="s">
        <v>5</v>
      </c>
      <c r="H50" s="2"/>
      <c r="I50" s="5" t="s">
        <v>6</v>
      </c>
      <c r="J50" s="3">
        <v>76250</v>
      </c>
      <c r="K50" s="3">
        <f t="shared" si="1"/>
        <v>76250</v>
      </c>
      <c r="L50" s="24"/>
      <c r="M50" s="25"/>
      <c r="N50" s="25"/>
      <c r="O50" s="25"/>
      <c r="P50" s="25"/>
      <c r="Q50" s="25"/>
      <c r="R50" s="26"/>
      <c r="S50" s="24"/>
      <c r="T50" s="25"/>
      <c r="U50" s="25"/>
      <c r="V50" s="25"/>
      <c r="W50" s="25"/>
      <c r="X50" s="25"/>
      <c r="Y50" s="26"/>
      <c r="Z50" s="24"/>
      <c r="AA50" s="25"/>
      <c r="AB50" s="25"/>
      <c r="AC50" s="25"/>
      <c r="AD50" s="25"/>
      <c r="AE50" s="25"/>
      <c r="AF50" s="26"/>
      <c r="AG50" s="19"/>
      <c r="AH50"/>
      <c r="AI50"/>
      <c r="AJ50"/>
      <c r="AK50"/>
      <c r="AL50"/>
      <c r="AM50" s="20"/>
      <c r="AN50" s="19">
        <v>76250</v>
      </c>
      <c r="AO50"/>
      <c r="AP50"/>
      <c r="AQ50"/>
      <c r="AR50"/>
      <c r="AS50"/>
      <c r="AT50" s="20"/>
      <c r="AU50" s="19"/>
      <c r="AV50"/>
      <c r="AW50"/>
      <c r="AX50"/>
      <c r="AY50"/>
      <c r="AZ50" s="20"/>
    </row>
    <row r="51" spans="1:52" x14ac:dyDescent="0.25">
      <c r="A51" s="2">
        <v>7600152</v>
      </c>
      <c r="B51" t="s">
        <v>78</v>
      </c>
      <c r="C51" s="2">
        <v>6012447977</v>
      </c>
      <c r="D51" s="5" t="s">
        <v>27</v>
      </c>
      <c r="E51" s="2">
        <v>9</v>
      </c>
      <c r="F51" s="2">
        <v>7</v>
      </c>
      <c r="G51" s="2" t="s">
        <v>5</v>
      </c>
      <c r="H51" s="2"/>
      <c r="I51" s="5" t="s">
        <v>6</v>
      </c>
      <c r="J51" s="3">
        <v>30000</v>
      </c>
      <c r="K51" s="3">
        <f t="shared" si="1"/>
        <v>30000</v>
      </c>
      <c r="L51" s="24"/>
      <c r="M51" s="25"/>
      <c r="N51" s="25"/>
      <c r="O51" s="25"/>
      <c r="P51" s="25"/>
      <c r="Q51" s="25"/>
      <c r="R51" s="26"/>
      <c r="S51" s="24"/>
      <c r="T51" s="25"/>
      <c r="U51" s="25"/>
      <c r="V51" s="25"/>
      <c r="W51" s="25"/>
      <c r="X51" s="25"/>
      <c r="Y51" s="26"/>
      <c r="Z51" s="24"/>
      <c r="AA51" s="25"/>
      <c r="AB51" s="25"/>
      <c r="AC51" s="25"/>
      <c r="AD51" s="25"/>
      <c r="AE51" s="25"/>
      <c r="AF51" s="26"/>
      <c r="AG51" s="19"/>
      <c r="AH51"/>
      <c r="AI51"/>
      <c r="AJ51"/>
      <c r="AK51"/>
      <c r="AL51"/>
      <c r="AM51" s="20"/>
      <c r="AN51" s="19">
        <v>30000</v>
      </c>
      <c r="AO51"/>
      <c r="AP51"/>
      <c r="AQ51"/>
      <c r="AR51"/>
      <c r="AS51"/>
      <c r="AT51" s="20"/>
      <c r="AU51" s="19"/>
      <c r="AV51"/>
      <c r="AW51"/>
      <c r="AX51"/>
      <c r="AY51"/>
      <c r="AZ51" s="20"/>
    </row>
    <row r="52" spans="1:52" x14ac:dyDescent="0.25">
      <c r="A52" s="2">
        <v>7692588</v>
      </c>
      <c r="B52" t="s">
        <v>32</v>
      </c>
      <c r="C52" s="2">
        <v>6012452095</v>
      </c>
      <c r="D52" s="5" t="s">
        <v>63</v>
      </c>
      <c r="E52" s="2">
        <v>9</v>
      </c>
      <c r="F52" s="2"/>
      <c r="G52" s="2" t="s">
        <v>5</v>
      </c>
      <c r="H52" s="2"/>
      <c r="I52" s="5" t="s">
        <v>6</v>
      </c>
      <c r="J52" s="3">
        <v>120000</v>
      </c>
      <c r="K52" s="3">
        <f t="shared" si="1"/>
        <v>80000</v>
      </c>
      <c r="L52" s="24"/>
      <c r="M52" s="25"/>
      <c r="N52" s="25"/>
      <c r="O52" s="25"/>
      <c r="P52" s="25"/>
      <c r="Q52" s="25"/>
      <c r="R52" s="26"/>
      <c r="S52" s="24"/>
      <c r="T52" s="25"/>
      <c r="U52" s="25"/>
      <c r="V52" s="25"/>
      <c r="W52" s="25"/>
      <c r="X52" s="25"/>
      <c r="Y52" s="26"/>
      <c r="Z52" s="24"/>
      <c r="AA52" s="25"/>
      <c r="AB52" s="25"/>
      <c r="AC52" s="25"/>
      <c r="AD52" s="25"/>
      <c r="AE52" s="25"/>
      <c r="AF52" s="26"/>
      <c r="AG52" s="19"/>
      <c r="AH52"/>
      <c r="AI52"/>
      <c r="AJ52"/>
      <c r="AK52">
        <v>40000</v>
      </c>
      <c r="AL52"/>
      <c r="AM52" s="20"/>
      <c r="AN52" s="19"/>
      <c r="AO52"/>
      <c r="AP52"/>
      <c r="AQ52"/>
      <c r="AR52"/>
      <c r="AS52">
        <v>40000</v>
      </c>
      <c r="AT52" s="20"/>
      <c r="AU52" s="19"/>
      <c r="AV52"/>
      <c r="AW52"/>
      <c r="AX52"/>
      <c r="AY52"/>
      <c r="AZ52" s="20"/>
    </row>
    <row r="53" spans="1:52" x14ac:dyDescent="0.25">
      <c r="A53" s="2">
        <v>7692798</v>
      </c>
      <c r="B53" t="s">
        <v>85</v>
      </c>
      <c r="C53" s="2">
        <v>6012457022</v>
      </c>
      <c r="D53" s="5" t="s">
        <v>86</v>
      </c>
      <c r="E53" s="2">
        <v>9</v>
      </c>
      <c r="F53" s="2"/>
      <c r="G53" s="2" t="s">
        <v>21</v>
      </c>
      <c r="H53" s="2"/>
      <c r="I53" s="5" t="s">
        <v>6</v>
      </c>
      <c r="J53" s="3">
        <v>150000</v>
      </c>
      <c r="K53" s="3">
        <f t="shared" ref="K53:K60" si="2">SUM(L53:AZ53)</f>
        <v>150000</v>
      </c>
      <c r="L53" s="24"/>
      <c r="M53" s="25"/>
      <c r="N53" s="25"/>
      <c r="O53" s="25"/>
      <c r="P53" s="25"/>
      <c r="Q53" s="25"/>
      <c r="R53" s="26"/>
      <c r="S53" s="24"/>
      <c r="T53" s="25"/>
      <c r="U53" s="25"/>
      <c r="V53" s="25"/>
      <c r="W53" s="25"/>
      <c r="X53" s="25">
        <v>150000</v>
      </c>
      <c r="Y53" s="26"/>
      <c r="Z53" s="24"/>
      <c r="AA53" s="25"/>
      <c r="AB53" s="25"/>
      <c r="AC53" s="25"/>
      <c r="AD53" s="25"/>
      <c r="AE53" s="25"/>
      <c r="AF53" s="26"/>
      <c r="AG53" s="19"/>
      <c r="AH53"/>
      <c r="AI53"/>
      <c r="AJ53"/>
      <c r="AK53"/>
      <c r="AL53"/>
      <c r="AM53" s="20"/>
      <c r="AN53" s="19"/>
      <c r="AO53"/>
      <c r="AP53"/>
      <c r="AQ53"/>
      <c r="AR53"/>
      <c r="AS53"/>
      <c r="AT53" s="20"/>
      <c r="AU53" s="19"/>
      <c r="AV53"/>
      <c r="AW53"/>
      <c r="AX53"/>
      <c r="AY53"/>
      <c r="AZ53" s="20"/>
    </row>
    <row r="54" spans="1:52" x14ac:dyDescent="0.25">
      <c r="A54" s="2">
        <v>7692923</v>
      </c>
      <c r="B54" t="s">
        <v>87</v>
      </c>
      <c r="C54" s="2">
        <v>6012453908</v>
      </c>
      <c r="D54" s="5" t="s">
        <v>40</v>
      </c>
      <c r="E54" s="2">
        <v>9</v>
      </c>
      <c r="F54" s="2"/>
      <c r="G54" s="2" t="s">
        <v>21</v>
      </c>
      <c r="H54" s="2"/>
      <c r="I54" s="5" t="s">
        <v>6</v>
      </c>
      <c r="J54" s="3">
        <v>115000</v>
      </c>
      <c r="K54" s="3">
        <f t="shared" si="2"/>
        <v>115000</v>
      </c>
      <c r="L54" s="24"/>
      <c r="M54" s="25"/>
      <c r="N54" s="25"/>
      <c r="O54" s="25"/>
      <c r="P54" s="25"/>
      <c r="Q54" s="25"/>
      <c r="R54" s="26"/>
      <c r="S54" s="24"/>
      <c r="T54" s="25">
        <v>115000</v>
      </c>
      <c r="U54" s="25"/>
      <c r="V54" s="25"/>
      <c r="W54" s="25"/>
      <c r="X54" s="25"/>
      <c r="Y54" s="26"/>
      <c r="Z54" s="24"/>
      <c r="AA54" s="25"/>
      <c r="AB54" s="25"/>
      <c r="AC54" s="25"/>
      <c r="AD54" s="25"/>
      <c r="AE54" s="25"/>
      <c r="AF54" s="26"/>
      <c r="AG54" s="19"/>
      <c r="AH54"/>
      <c r="AI54"/>
      <c r="AJ54"/>
      <c r="AK54"/>
      <c r="AL54"/>
      <c r="AM54" s="20"/>
      <c r="AN54" s="19"/>
      <c r="AO54"/>
      <c r="AP54"/>
      <c r="AQ54"/>
      <c r="AR54"/>
      <c r="AS54"/>
      <c r="AT54" s="20"/>
      <c r="AU54" s="19"/>
      <c r="AV54"/>
      <c r="AW54"/>
      <c r="AX54"/>
      <c r="AY54"/>
      <c r="AZ54" s="20"/>
    </row>
    <row r="55" spans="1:52" x14ac:dyDescent="0.25">
      <c r="A55" s="2">
        <v>7692913</v>
      </c>
      <c r="B55" t="s">
        <v>88</v>
      </c>
      <c r="C55" s="2">
        <v>6012458414</v>
      </c>
      <c r="D55" s="5" t="s">
        <v>38</v>
      </c>
      <c r="E55" s="2">
        <v>6</v>
      </c>
      <c r="F55" s="2"/>
      <c r="G55" s="2" t="s">
        <v>5</v>
      </c>
      <c r="H55" s="2"/>
      <c r="I55" s="5" t="s">
        <v>6</v>
      </c>
      <c r="J55" s="3">
        <v>175000</v>
      </c>
      <c r="K55" s="3">
        <f t="shared" si="2"/>
        <v>175000</v>
      </c>
      <c r="L55" s="24"/>
      <c r="M55" s="25"/>
      <c r="N55" s="25"/>
      <c r="O55" s="25"/>
      <c r="P55" s="25"/>
      <c r="Q55" s="25"/>
      <c r="R55" s="26"/>
      <c r="S55" s="24"/>
      <c r="T55" s="25"/>
      <c r="U55" s="25"/>
      <c r="V55" s="25"/>
      <c r="W55" s="25"/>
      <c r="X55" s="25"/>
      <c r="Y55" s="26"/>
      <c r="Z55" s="24"/>
      <c r="AA55" s="25"/>
      <c r="AB55" s="25"/>
      <c r="AC55" s="25"/>
      <c r="AD55" s="25"/>
      <c r="AE55" s="25"/>
      <c r="AF55" s="26"/>
      <c r="AG55" s="19">
        <v>70000</v>
      </c>
      <c r="AH55"/>
      <c r="AI55"/>
      <c r="AJ55"/>
      <c r="AK55"/>
      <c r="AL55"/>
      <c r="AM55" s="20">
        <v>105000</v>
      </c>
      <c r="AN55" s="19"/>
      <c r="AO55"/>
      <c r="AP55"/>
      <c r="AQ55"/>
      <c r="AR55"/>
      <c r="AS55"/>
      <c r="AT55" s="20"/>
      <c r="AU55" s="19"/>
      <c r="AV55"/>
      <c r="AW55"/>
      <c r="AX55"/>
      <c r="AY55"/>
      <c r="AZ55" s="20"/>
    </row>
    <row r="56" spans="1:52" x14ac:dyDescent="0.25">
      <c r="A56" s="2">
        <v>7692912</v>
      </c>
      <c r="B56" t="s">
        <v>89</v>
      </c>
      <c r="C56" s="2">
        <v>6012462445</v>
      </c>
      <c r="D56" s="5" t="s">
        <v>90</v>
      </c>
      <c r="E56" s="2">
        <v>9</v>
      </c>
      <c r="F56" s="2"/>
      <c r="G56" s="2" t="s">
        <v>5</v>
      </c>
      <c r="H56" s="2"/>
      <c r="I56" s="5" t="s">
        <v>36</v>
      </c>
      <c r="J56" s="3">
        <v>65000</v>
      </c>
      <c r="K56" s="3">
        <f t="shared" si="2"/>
        <v>65000</v>
      </c>
      <c r="L56" s="24"/>
      <c r="M56" s="25"/>
      <c r="N56" s="25"/>
      <c r="O56" s="25"/>
      <c r="P56" s="25"/>
      <c r="Q56" s="25"/>
      <c r="R56" s="26"/>
      <c r="S56" s="24"/>
      <c r="T56" s="25"/>
      <c r="U56" s="25"/>
      <c r="V56" s="25"/>
      <c r="W56" s="25"/>
      <c r="X56" s="25"/>
      <c r="Y56" s="26"/>
      <c r="Z56" s="24"/>
      <c r="AA56" s="25"/>
      <c r="AB56" s="25"/>
      <c r="AC56" s="25"/>
      <c r="AD56" s="25">
        <v>15000</v>
      </c>
      <c r="AE56" s="25"/>
      <c r="AF56" s="26"/>
      <c r="AG56" s="19"/>
      <c r="AH56"/>
      <c r="AI56">
        <v>15000</v>
      </c>
      <c r="AJ56"/>
      <c r="AK56"/>
      <c r="AL56"/>
      <c r="AM56" s="20"/>
      <c r="AN56" s="19">
        <v>15000</v>
      </c>
      <c r="AO56"/>
      <c r="AP56"/>
      <c r="AQ56"/>
      <c r="AR56"/>
      <c r="AS56"/>
      <c r="AT56" s="20"/>
      <c r="AU56" s="19">
        <v>20000</v>
      </c>
      <c r="AV56"/>
      <c r="AW56"/>
      <c r="AX56"/>
      <c r="AY56"/>
      <c r="AZ56" s="20"/>
    </row>
    <row r="57" spans="1:52" x14ac:dyDescent="0.25">
      <c r="A57" s="2">
        <v>7692912</v>
      </c>
      <c r="B57" t="s">
        <v>91</v>
      </c>
      <c r="C57" s="2">
        <v>6012462861</v>
      </c>
      <c r="D57" s="5" t="s">
        <v>90</v>
      </c>
      <c r="E57" s="2">
        <v>9</v>
      </c>
      <c r="F57" s="2"/>
      <c r="G57" s="2" t="s">
        <v>5</v>
      </c>
      <c r="H57" s="2"/>
      <c r="I57" s="5" t="s">
        <v>6</v>
      </c>
      <c r="J57" s="3">
        <v>60000</v>
      </c>
      <c r="K57" s="3">
        <f t="shared" si="2"/>
        <v>60000</v>
      </c>
      <c r="L57" s="24"/>
      <c r="M57" s="25"/>
      <c r="N57" s="25"/>
      <c r="O57" s="25"/>
      <c r="P57" s="25"/>
      <c r="Q57" s="25"/>
      <c r="R57" s="26"/>
      <c r="S57" s="24"/>
      <c r="T57" s="25"/>
      <c r="U57" s="25"/>
      <c r="V57" s="25"/>
      <c r="W57" s="25"/>
      <c r="X57" s="25"/>
      <c r="Y57" s="26"/>
      <c r="Z57" s="24"/>
      <c r="AA57" s="25"/>
      <c r="AB57" s="25"/>
      <c r="AC57" s="25"/>
      <c r="AD57" s="25">
        <v>15000</v>
      </c>
      <c r="AE57" s="25"/>
      <c r="AF57" s="26"/>
      <c r="AG57" s="19"/>
      <c r="AH57"/>
      <c r="AI57">
        <v>15000</v>
      </c>
      <c r="AJ57"/>
      <c r="AK57"/>
      <c r="AL57"/>
      <c r="AM57" s="20"/>
      <c r="AN57" s="19">
        <v>15000</v>
      </c>
      <c r="AO57"/>
      <c r="AP57"/>
      <c r="AQ57"/>
      <c r="AR57"/>
      <c r="AS57"/>
      <c r="AT57" s="20"/>
      <c r="AU57" s="19">
        <v>15000</v>
      </c>
      <c r="AV57"/>
      <c r="AW57"/>
      <c r="AX57"/>
      <c r="AY57"/>
      <c r="AZ57" s="20"/>
    </row>
    <row r="58" spans="1:52" x14ac:dyDescent="0.25">
      <c r="A58" s="18">
        <v>7692862</v>
      </c>
      <c r="B58" t="s">
        <v>41</v>
      </c>
      <c r="C58" s="2">
        <v>6012458260</v>
      </c>
      <c r="D58" s="5" t="s">
        <v>42</v>
      </c>
      <c r="E58" s="2">
        <v>9</v>
      </c>
      <c r="F58" s="2"/>
      <c r="G58" s="2" t="s">
        <v>21</v>
      </c>
      <c r="H58" s="2"/>
      <c r="I58" s="5" t="s">
        <v>6</v>
      </c>
      <c r="J58" s="3">
        <v>100000</v>
      </c>
      <c r="K58" s="3">
        <f t="shared" si="2"/>
        <v>100000</v>
      </c>
      <c r="L58" s="24"/>
      <c r="M58" s="25"/>
      <c r="N58" s="25"/>
      <c r="O58" s="25"/>
      <c r="P58" s="25"/>
      <c r="Q58" s="25"/>
      <c r="R58" s="26"/>
      <c r="S58" s="24"/>
      <c r="T58" s="25"/>
      <c r="U58" s="25"/>
      <c r="V58" s="25"/>
      <c r="W58" s="25"/>
      <c r="X58" s="25"/>
      <c r="Y58" s="26"/>
      <c r="Z58" s="24"/>
      <c r="AA58" s="25"/>
      <c r="AB58" s="25"/>
      <c r="AC58" s="25">
        <v>100000</v>
      </c>
      <c r="AD58" s="25"/>
      <c r="AE58" s="25"/>
      <c r="AF58" s="26"/>
      <c r="AG58" s="19"/>
      <c r="AH58"/>
      <c r="AI58"/>
      <c r="AJ58"/>
      <c r="AK58"/>
      <c r="AL58"/>
      <c r="AM58" s="20"/>
      <c r="AN58" s="19"/>
      <c r="AO58"/>
      <c r="AP58"/>
      <c r="AQ58"/>
      <c r="AR58"/>
      <c r="AS58"/>
      <c r="AT58" s="20"/>
      <c r="AU58" s="19"/>
      <c r="AV58"/>
      <c r="AW58"/>
      <c r="AX58"/>
      <c r="AY58"/>
      <c r="AZ58" s="20"/>
    </row>
    <row r="59" spans="1:52" x14ac:dyDescent="0.25">
      <c r="A59" s="18">
        <v>7692733</v>
      </c>
      <c r="B59" t="s">
        <v>92</v>
      </c>
      <c r="C59" s="2">
        <v>6012463423</v>
      </c>
      <c r="D59" s="5" t="s">
        <v>24</v>
      </c>
      <c r="E59" s="2">
        <v>3</v>
      </c>
      <c r="F59" s="2"/>
      <c r="G59" s="2" t="s">
        <v>5</v>
      </c>
      <c r="H59" s="2"/>
      <c r="I59" s="5" t="s">
        <v>36</v>
      </c>
      <c r="J59" s="3">
        <v>10000</v>
      </c>
      <c r="K59" s="3">
        <f t="shared" si="2"/>
        <v>10000</v>
      </c>
      <c r="L59" s="24"/>
      <c r="M59" s="25"/>
      <c r="N59" s="25"/>
      <c r="O59" s="25"/>
      <c r="P59" s="25"/>
      <c r="Q59" s="25"/>
      <c r="R59" s="26"/>
      <c r="S59" s="24"/>
      <c r="T59" s="25"/>
      <c r="U59" s="25"/>
      <c r="V59" s="25"/>
      <c r="W59" s="25"/>
      <c r="X59" s="25"/>
      <c r="Y59" s="26"/>
      <c r="Z59" s="24"/>
      <c r="AA59" s="25"/>
      <c r="AB59" s="25"/>
      <c r="AC59" s="25"/>
      <c r="AD59" s="25"/>
      <c r="AE59" s="25"/>
      <c r="AF59" s="26"/>
      <c r="AG59" s="19"/>
      <c r="AH59"/>
      <c r="AI59">
        <v>10000</v>
      </c>
      <c r="AJ59"/>
      <c r="AK59"/>
      <c r="AL59"/>
      <c r="AM59" s="20"/>
      <c r="AN59" s="19"/>
      <c r="AO59"/>
      <c r="AP59"/>
      <c r="AQ59"/>
      <c r="AR59"/>
      <c r="AS59"/>
      <c r="AT59" s="20"/>
      <c r="AU59" s="19"/>
      <c r="AV59"/>
      <c r="AW59"/>
      <c r="AX59"/>
      <c r="AY59"/>
      <c r="AZ59" s="20"/>
    </row>
    <row r="60" spans="1:52" ht="15.75" thickBot="1" x14ac:dyDescent="0.3">
      <c r="A60" s="18">
        <v>7692923</v>
      </c>
      <c r="B60" t="s">
        <v>93</v>
      </c>
      <c r="C60" s="2">
        <v>6012461642</v>
      </c>
      <c r="D60" s="5" t="s">
        <v>94</v>
      </c>
      <c r="E60" s="2">
        <v>9</v>
      </c>
      <c r="F60" s="2"/>
      <c r="G60" s="2" t="s">
        <v>21</v>
      </c>
      <c r="H60" s="2"/>
      <c r="I60" s="5" t="s">
        <v>6</v>
      </c>
      <c r="J60" s="3">
        <v>158750</v>
      </c>
      <c r="K60" s="3">
        <f t="shared" si="2"/>
        <v>158750</v>
      </c>
      <c r="L60" s="27"/>
      <c r="M60" s="28"/>
      <c r="N60" s="28"/>
      <c r="O60" s="28"/>
      <c r="P60" s="28"/>
      <c r="Q60" s="28"/>
      <c r="R60" s="29"/>
      <c r="S60" s="27"/>
      <c r="T60" s="28"/>
      <c r="U60" s="28"/>
      <c r="V60" s="28"/>
      <c r="W60" s="28"/>
      <c r="X60" s="28"/>
      <c r="Y60" s="29"/>
      <c r="Z60" s="27">
        <v>80000</v>
      </c>
      <c r="AA60" s="28"/>
      <c r="AB60" s="28"/>
      <c r="AC60" s="28">
        <v>78750</v>
      </c>
      <c r="AD60" s="28"/>
      <c r="AE60" s="28"/>
      <c r="AF60" s="29"/>
      <c r="AG60" s="21"/>
      <c r="AH60" s="22"/>
      <c r="AI60" s="22"/>
      <c r="AJ60" s="22"/>
      <c r="AK60" s="22"/>
      <c r="AL60" s="22"/>
      <c r="AM60" s="23"/>
      <c r="AN60" s="21"/>
      <c r="AO60" s="22"/>
      <c r="AP60" s="22"/>
      <c r="AQ60" s="22"/>
      <c r="AR60" s="22"/>
      <c r="AS60" s="22"/>
      <c r="AT60" s="23"/>
      <c r="AU60" s="21"/>
      <c r="AV60" s="22"/>
      <c r="AW60" s="22"/>
      <c r="AX60" s="22"/>
      <c r="AY60" s="22"/>
      <c r="AZ60" s="23"/>
    </row>
  </sheetData>
  <autoFilter ref="A3:AZ60" xr:uid="{E8E9405E-5A6D-4380-B8BA-AF57E580B666}"/>
  <conditionalFormatting sqref="C3:C60">
    <cfRule type="duplicateValues" dxfId="39" priority="1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DATA</vt:lpstr>
      <vt:lpstr>TD</vt:lpstr>
      <vt:lpstr>DIFERENCIAL</vt:lpstr>
      <vt:lpstr>Fecha 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 Iturrieta Espinoza</dc:creator>
  <cp:lastModifiedBy>Hernan Iturrieta Espinoza</cp:lastModifiedBy>
  <dcterms:created xsi:type="dcterms:W3CDTF">2021-12-23T22:29:52Z</dcterms:created>
  <dcterms:modified xsi:type="dcterms:W3CDTF">2024-04-25T21:15:24Z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64a6fc3-496d-44ea-86a8-5b93f17e3566_Enabled">
    <vt:lpwstr>true</vt:lpwstr>
  </property>
  <property fmtid="{D5CDD505-2E9C-101B-9397-08002B2CF9AE}" pid="3" name="MSIP_Label_d64a6fc3-496d-44ea-86a8-5b93f17e3566_SetDate">
    <vt:lpwstr>2023-12-28T15:22:11Z</vt:lpwstr>
  </property>
  <property fmtid="{D5CDD505-2E9C-101B-9397-08002B2CF9AE}" pid="4" name="MSIP_Label_d64a6fc3-496d-44ea-86a8-5b93f17e3566_Method">
    <vt:lpwstr>Standard</vt:lpwstr>
  </property>
  <property fmtid="{D5CDD505-2E9C-101B-9397-08002B2CF9AE}" pid="5" name="MSIP_Label_d64a6fc3-496d-44ea-86a8-5b93f17e3566_Name">
    <vt:lpwstr>GRUPOALICORP_Uso-Interno</vt:lpwstr>
  </property>
  <property fmtid="{D5CDD505-2E9C-101B-9397-08002B2CF9AE}" pid="6" name="MSIP_Label_d64a6fc3-496d-44ea-86a8-5b93f17e3566_SiteId">
    <vt:lpwstr>3b16616d-f174-497a-a1ae-900d85106996</vt:lpwstr>
  </property>
  <property fmtid="{D5CDD505-2E9C-101B-9397-08002B2CF9AE}" pid="7" name="MSIP_Label_d64a6fc3-496d-44ea-86a8-5b93f17e3566_ActionId">
    <vt:lpwstr>c9646227-3e4f-4fee-84d4-3f133678de57</vt:lpwstr>
  </property>
  <property fmtid="{D5CDD505-2E9C-101B-9397-08002B2CF9AE}" pid="8" name="MSIP_Label_d64a6fc3-496d-44ea-86a8-5b93f17e3566_ContentBits">
    <vt:lpwstr>0</vt:lpwstr>
  </property>
</Properties>
</file>